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noj\OneDrive\Desktop\"/>
    </mc:Choice>
  </mc:AlternateContent>
  <xr:revisionPtr revIDLastSave="0" documentId="8_{6C605703-3993-4383-8764-ED6D80A9359A}" xr6:coauthVersionLast="47" xr6:coauthVersionMax="47" xr10:uidLastSave="{00000000-0000-0000-0000-000000000000}"/>
  <bookViews>
    <workbookView xWindow="-108" yWindow="-108" windowWidth="23256" windowHeight="12456" firstSheet="1" activeTab="1" xr2:uid="{FA0E4093-54F9-4C13-8070-70E7B5FE937C}"/>
  </bookViews>
  <sheets>
    <sheet name="Pivot Report" sheetId="1" r:id="rId1"/>
    <sheet name="Dashboard" sheetId="2" r:id="rId2"/>
    <sheet name="Daily ER No.of Patient" sheetId="3" r:id="rId3"/>
    <sheet name="Average wait time daily trend" sheetId="4" r:id="rId4"/>
    <sheet name="satification score daily trend" sheetId="5"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99f5f50-132e-4731-8dc7-dd0dbb4398db" name="Hospital Emergency Room Data" connection="Query - Hospital Emergency Room Data"/>
          <x15:modelTable id="Calender_Table_9f58ad89-04e9-4068-a85b-1571badd81b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1" l="1"/>
  <c r="D54" i="1"/>
  <c r="C53" i="1"/>
  <c r="D53" i="1"/>
  <c r="B54" i="1"/>
  <c r="B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8982A8-2B98-4459-9105-0A284475F839}" name="Query - Calender_Table" description="Connection to the 'Calender_Table' query in the workbook." type="100" refreshedVersion="8" minRefreshableVersion="5">
    <extLst>
      <ext xmlns:x15="http://schemas.microsoft.com/office/spreadsheetml/2010/11/main" uri="{DE250136-89BD-433C-8126-D09CA5730AF9}">
        <x15:connection id="f0fd5fc1-19d3-41df-ac21-6a29f8b20305"/>
      </ext>
    </extLst>
  </connection>
  <connection id="2" xr16:uid="{8E7FC374-9455-4266-881D-E442CD5F1FE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a5ebddd-836e-42e3-bb49-2f26e4423ec2"/>
      </ext>
    </extLst>
  </connection>
  <connection id="3" xr16:uid="{6D9010ED-E02A-4E29-9628-75FB9B5166D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<sst xmlns="http://schemas.openxmlformats.org/spreadsheetml/2006/main" count="161" uniqueCount="80">
  <si>
    <t>Distinct Count of Patient Id</t>
  </si>
  <si>
    <t>No. of patient</t>
  </si>
  <si>
    <t>Average of Patient Waittime</t>
  </si>
  <si>
    <t>Average of Patient Satisfaction Score</t>
  </si>
  <si>
    <t>Row Labels</t>
  </si>
  <si>
    <t>Grand Total</t>
  </si>
  <si>
    <t xml:space="preserve"> Showing a daily trends with an area sparkline to spot pattern like busy days or seasonal trends</t>
  </si>
  <si>
    <t>Daily trends of number of patient</t>
  </si>
  <si>
    <t>Use an area sparkline to track daily change and highlight days with longer wait times that might need improvements</t>
  </si>
  <si>
    <t>Use an area chart to show trends, spot drops in satisfaction,and link them to busy times or challenge</t>
  </si>
  <si>
    <t>Count of Patient Admission Flag</t>
  </si>
  <si>
    <t>Admitted</t>
  </si>
  <si>
    <t>Notadmitted</t>
  </si>
  <si>
    <t>Count of Patient Admission Flag2</t>
  </si>
  <si>
    <t>Admission Status</t>
  </si>
  <si>
    <t>% Status</t>
  </si>
  <si>
    <t>No. of  Patient</t>
  </si>
  <si>
    <t>0-9</t>
  </si>
  <si>
    <t>10-9</t>
  </si>
  <si>
    <t>20-29</t>
  </si>
  <si>
    <t>30-39</t>
  </si>
  <si>
    <t>40-49</t>
  </si>
  <si>
    <t>50-59</t>
  </si>
  <si>
    <t>60-69</t>
  </si>
  <si>
    <t>70-79</t>
  </si>
  <si>
    <t>Count of Age Group</t>
  </si>
  <si>
    <t>OnTime</t>
  </si>
  <si>
    <t>Delay</t>
  </si>
  <si>
    <t>Count of Patient attend Statuas</t>
  </si>
  <si>
    <t>Female</t>
  </si>
  <si>
    <t>Male</t>
  </si>
  <si>
    <t>Count of Patient Gender</t>
  </si>
  <si>
    <t>Cardiology</t>
  </si>
  <si>
    <t>Gastroenterology</t>
  </si>
  <si>
    <t>General Practice</t>
  </si>
  <si>
    <t>Neurology</t>
  </si>
  <si>
    <t>None</t>
  </si>
  <si>
    <t>Orthopedics</t>
  </si>
  <si>
    <t>Physiotherapy</t>
  </si>
  <si>
    <t>Renal</t>
  </si>
  <si>
    <t>Count of Department Referral</t>
  </si>
  <si>
    <t xml:space="preserve"> </t>
  </si>
  <si>
    <t>Gender Wise Analysis</t>
  </si>
  <si>
    <t>Attend Status</t>
  </si>
  <si>
    <t>Age Group</t>
  </si>
  <si>
    <t>Admission total</t>
  </si>
  <si>
    <t>Average wait time</t>
  </si>
  <si>
    <t>Average Patient satification score</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</si>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</sst>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0"/>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2" fillId="0" borderId="1" xfId="0" applyFont="1" applyBorder="1"/>
    <xf numFmtId="1" fontId="0" fillId="0" borderId="0" xfId="0" applyNumberFormat="1"/>
    <xf numFmtId="10" fontId="0" fillId="0" borderId="0" xfId="0" applyNumberFormat="1"/>
    <xf numFmtId="0" fontId="0" fillId="4" borderId="0" xfId="0" applyFill="1"/>
    <xf numFmtId="0" fontId="0" fillId="5" borderId="0" xfId="0" applyFill="1"/>
    <xf numFmtId="0" fontId="5" fillId="5" borderId="0" xfId="0" applyFont="1" applyFill="1" applyAlignment="1">
      <alignment horizontal="center"/>
    </xf>
    <xf numFmtId="0" fontId="5" fillId="5" borderId="0" xfId="0" applyFont="1" applyFill="1"/>
    <xf numFmtId="0" fontId="5" fillId="4" borderId="0" xfId="0" applyFont="1" applyFill="1" applyAlignment="1">
      <alignment horizontal="center"/>
    </xf>
    <xf numFmtId="9" fontId="5" fillId="4" borderId="0" xfId="1" applyFont="1" applyFill="1" applyAlignment="1">
      <alignment horizontal="center"/>
    </xf>
    <xf numFmtId="0" fontId="5" fillId="4" borderId="0" xfId="0" applyFont="1" applyFill="1"/>
    <xf numFmtId="0" fontId="3" fillId="0" borderId="0" xfId="0" applyFont="1"/>
    <xf numFmtId="0" fontId="4" fillId="0" borderId="0" xfId="0" applyFont="1" applyAlignment="1">
      <alignment horizontal="left"/>
    </xf>
    <xf numFmtId="0" fontId="0" fillId="3" borderId="0" xfId="0" applyFill="1" applyAlignment="1">
      <alignment horizontal="center"/>
    </xf>
    <xf numFmtId="0" fontId="4" fillId="0" borderId="0" xfId="0" applyFont="1" applyAlignment="1">
      <alignment horizontal="center"/>
    </xf>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28">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4" formatCode="0.00%"/>
    </dxf>
    <dxf>
      <numFmt numFmtId="2" formatCode="0.00"/>
    </dxf>
    <dxf>
      <numFmt numFmtId="2" formatCode="0.00"/>
    </dxf>
    <dxf>
      <numFmt numFmtId="2" formatCode="0.00"/>
    </dxf>
    <dxf>
      <numFmt numFmtId="2" formatCode="0.00"/>
    </dxf>
    <dxf>
      <numFmt numFmtId="1" formatCode="0"/>
    </dxf>
    <dxf>
      <numFmt numFmtId="14" formatCode="0.00%"/>
    </dxf>
    <dxf>
      <numFmt numFmtId="0" formatCode="General"/>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font>
        <b/>
        <color theme="1"/>
      </font>
      <border>
        <bottom style="thin">
          <color theme="4"/>
        </bottom>
        <vertical/>
        <horizontal/>
      </border>
    </dxf>
    <dxf>
      <font>
        <sz val="8"/>
        <color theme="1"/>
      </font>
      <fill>
        <patternFill patternType="solid">
          <fgColor rgb="FF0070C0"/>
          <bgColor theme="5" tint="0.79995117038483843"/>
        </patternFill>
      </fill>
      <border diagonalUp="0" diagonalDown="0">
        <left/>
        <right/>
        <top/>
        <bottom/>
        <vertical/>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style" pivot="0" table="0" count="10" xr9:uid="{37E73389-AC16-4CBB-867D-BA44C37B80BC}">
      <tableStyleElement type="wholeTable" dxfId="27"/>
      <tableStyleElement type="headerRow" dxfId="26"/>
    </tableStyle>
    <tableStyle name="New Style" pivot="0" table="0" count="10" xr9:uid="{952B0F71-E3FC-41E7-BC87-908ACDFA57A2}">
      <tableStyleElement type="wholeTable" dxfId="25"/>
      <tableStyleElement type="headerRow" dxfId="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ew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0CFD4B-256C-496E-9CD3-DAF717DB8082}" type="CELLRANGE">
                  <a:rPr lang="en-US"/>
                  <a:pPr>
                    <a:defRPr>
                      <a:solidFill>
                        <a:schemeClr val="tx1">
                          <a:lumMod val="75000"/>
                          <a:lumOff val="25000"/>
                        </a:schemeClr>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3"/>
        <c:spPr>
          <a:solidFill>
            <a:schemeClr val="accent1"/>
          </a:solidFill>
          <a:ln>
            <a:noFill/>
          </a:ln>
          <a:effectLst/>
        </c:spPr>
        <c:dLbl>
          <c:idx val="0"/>
          <c:tx>
            <c:rich>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2C4E15-8B73-4873-9B01-6DA29A7A8577}" type="CELLRANGE">
                  <a:rPr lang="en-IN"/>
                  <a:pPr>
                    <a:defRPr>
                      <a:solidFill>
                        <a:schemeClr val="tx1">
                          <a:lumMod val="75000"/>
                          <a:lumOff val="25000"/>
                        </a:schemeClr>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14864391951006123"/>
          <c:y val="8.6805555555555552E-2"/>
          <c:w val="0.58210678762242096"/>
          <c:h val="0.56391896325459323"/>
        </c:manualLayout>
      </c:layout>
      <c:barChart>
        <c:barDir val="bar"/>
        <c:grouping val="clustered"/>
        <c:varyColors val="0"/>
        <c:ser>
          <c:idx val="1"/>
          <c:order val="1"/>
          <c:tx>
            <c:strRef>
              <c:f>'Pivot Report'!$C$45:$C$46</c:f>
              <c:strCache>
                <c:ptCount val="1"/>
                <c:pt idx="0">
                  <c:v>Count of Patient Admission Flag2</c:v>
                </c:pt>
              </c:strCache>
            </c:strRef>
          </c:tx>
          <c:spPr>
            <a:solidFill>
              <a:schemeClr val="accent2"/>
            </a:solidFill>
            <a:ln>
              <a:noFill/>
            </a:ln>
            <a:effectLst/>
          </c:spPr>
          <c:invertIfNegative val="0"/>
          <c:cat>
            <c:strRef>
              <c:f>'Pivot Report'!$C$45:$C$46</c:f>
              <c:strCache>
                <c:ptCount val="2"/>
                <c:pt idx="0">
                  <c:v>Admitted</c:v>
                </c:pt>
                <c:pt idx="1">
                  <c:v>Notadmitted</c:v>
                </c:pt>
              </c:strCache>
            </c:strRef>
          </c:cat>
          <c:val>
            <c:numRef>
              <c:f>'Pivot Report'!$C$45:$C$46</c:f>
              <c:numCache>
                <c:formatCode>0.00%</c:formatCode>
                <c:ptCount val="2"/>
                <c:pt idx="0">
                  <c:v>0.52436647173489281</c:v>
                </c:pt>
                <c:pt idx="1">
                  <c:v>0.47563352826510719</c:v>
                </c:pt>
              </c:numCache>
            </c:numRef>
          </c:val>
          <c:extLst>
            <c:ext xmlns:c16="http://schemas.microsoft.com/office/drawing/2014/chart" uri="{C3380CC4-5D6E-409C-BE32-E72D297353CC}">
              <c16:uniqueId val="{00000001-52DB-4A1D-8E24-1B501BDFEF68}"/>
            </c:ext>
          </c:extLst>
        </c:ser>
        <c:dLbls>
          <c:showLegendKey val="0"/>
          <c:showVal val="0"/>
          <c:showCatName val="0"/>
          <c:showSerName val="0"/>
          <c:showPercent val="0"/>
          <c:showBubbleSize val="0"/>
        </c:dLbls>
        <c:gapWidth val="116"/>
        <c:axId val="1691238512"/>
        <c:axId val="1691255312"/>
      </c:barChart>
      <c:barChart>
        <c:barDir val="bar"/>
        <c:grouping val="clustered"/>
        <c:varyColors val="0"/>
        <c:ser>
          <c:idx val="0"/>
          <c:order val="0"/>
          <c:tx>
            <c:strRef>
              <c:f>'Pivot Report'!$C$45:$C$46</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52DB-4A1D-8E24-1B501BDFEF68}"/>
              </c:ext>
            </c:extLst>
          </c:dPt>
          <c:dPt>
            <c:idx val="1"/>
            <c:invertIfNegative val="0"/>
            <c:bubble3D val="0"/>
            <c:extLst>
              <c:ext xmlns:c16="http://schemas.microsoft.com/office/drawing/2014/chart" uri="{C3380CC4-5D6E-409C-BE32-E72D297353CC}">
                <c16:uniqueId val="{00000004-52DB-4A1D-8E24-1B501BDFEF68}"/>
              </c:ext>
            </c:extLst>
          </c:dPt>
          <c:dLbls>
            <c:dLbl>
              <c:idx val="0"/>
              <c:tx>
                <c:rich>
                  <a:bodyPr/>
                  <a:lstStyle/>
                  <a:p>
                    <a:fld id="{7B0CFD4B-256C-496E-9CD3-DAF717DB808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DB-4A1D-8E24-1B501BDFEF68}"/>
                </c:ext>
              </c:extLst>
            </c:dLbl>
            <c:dLbl>
              <c:idx val="1"/>
              <c:tx>
                <c:rich>
                  <a:bodyPr/>
                  <a:lstStyle/>
                  <a:p>
                    <a:fld id="{0D2C4E15-8B73-4873-9B01-6DA29A7A857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DB-4A1D-8E24-1B501BDFEF68}"/>
                </c:ext>
              </c:extLst>
            </c:dLbl>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Report'!$C$45:$C$46</c:f>
              <c:strCache>
                <c:ptCount val="2"/>
                <c:pt idx="0">
                  <c:v>Admitted</c:v>
                </c:pt>
                <c:pt idx="1">
                  <c:v>Notadmitted</c:v>
                </c:pt>
              </c:strCache>
            </c:strRef>
          </c:cat>
          <c:val>
            <c:numRef>
              <c:f>'Pivot Report'!$C$45:$C$46</c:f>
              <c:numCache>
                <c:formatCode>General</c:formatCode>
                <c:ptCount val="2"/>
                <c:pt idx="0">
                  <c:v>269</c:v>
                </c:pt>
                <c:pt idx="1">
                  <c:v>244</c:v>
                </c:pt>
              </c:numCache>
            </c:numRef>
          </c:val>
          <c:extLst>
            <c:ext xmlns:c15="http://schemas.microsoft.com/office/drawing/2012/chart" uri="{02D57815-91ED-43cb-92C2-25804820EDAC}">
              <c15:datalabelsRange>
                <c15:f>'Pivot Report'!$C$45:$C$46</c15:f>
                <c15:dlblRangeCache>
                  <c:ptCount val="2"/>
                  <c:pt idx="0">
                    <c:v>52.44%</c:v>
                  </c:pt>
                  <c:pt idx="1">
                    <c:v>47.56%</c:v>
                  </c:pt>
                </c15:dlblRangeCache>
              </c15:datalabelsRange>
            </c:ext>
            <c:ext xmlns:c16="http://schemas.microsoft.com/office/drawing/2014/chart" uri="{C3380CC4-5D6E-409C-BE32-E72D297353CC}">
              <c16:uniqueId val="{00000000-52DB-4A1D-8E24-1B501BDFEF68}"/>
            </c:ext>
          </c:extLst>
        </c:ser>
        <c:dLbls>
          <c:showLegendKey val="0"/>
          <c:showVal val="0"/>
          <c:showCatName val="0"/>
          <c:showSerName val="0"/>
          <c:showPercent val="0"/>
          <c:showBubbleSize val="0"/>
        </c:dLbls>
        <c:gapWidth val="89"/>
        <c:axId val="1691287952"/>
        <c:axId val="1691277872"/>
      </c:barChart>
      <c:catAx>
        <c:axId val="1691238512"/>
        <c:scaling>
          <c:orientation val="minMax"/>
        </c:scaling>
        <c:delete val="1"/>
        <c:axPos val="l"/>
        <c:numFmt formatCode="General" sourceLinked="1"/>
        <c:majorTickMark val="none"/>
        <c:minorTickMark val="none"/>
        <c:tickLblPos val="nextTo"/>
        <c:crossAx val="1691255312"/>
        <c:crosses val="autoZero"/>
        <c:auto val="1"/>
        <c:lblAlgn val="ctr"/>
        <c:lblOffset val="100"/>
        <c:noMultiLvlLbl val="0"/>
      </c:catAx>
      <c:valAx>
        <c:axId val="1691255312"/>
        <c:scaling>
          <c:orientation val="minMax"/>
        </c:scaling>
        <c:delete val="1"/>
        <c:axPos val="b"/>
        <c:numFmt formatCode="0.00%" sourceLinked="1"/>
        <c:majorTickMark val="none"/>
        <c:minorTickMark val="none"/>
        <c:tickLblPos val="nextTo"/>
        <c:crossAx val="1691238512"/>
        <c:crosses val="autoZero"/>
        <c:crossBetween val="between"/>
      </c:valAx>
      <c:valAx>
        <c:axId val="1691277872"/>
        <c:scaling>
          <c:orientation val="minMax"/>
        </c:scaling>
        <c:delete val="1"/>
        <c:axPos val="t"/>
        <c:numFmt formatCode="General" sourceLinked="1"/>
        <c:majorTickMark val="out"/>
        <c:minorTickMark val="none"/>
        <c:tickLblPos val="nextTo"/>
        <c:crossAx val="1691287952"/>
        <c:crosses val="max"/>
        <c:crossBetween val="between"/>
      </c:valAx>
      <c:catAx>
        <c:axId val="1691287952"/>
        <c:scaling>
          <c:orientation val="minMax"/>
        </c:scaling>
        <c:delete val="1"/>
        <c:axPos val="l"/>
        <c:numFmt formatCode="General" sourceLinked="1"/>
        <c:majorTickMark val="out"/>
        <c:minorTickMark val="none"/>
        <c:tickLblPos val="nextTo"/>
        <c:crossAx val="16912778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8516928507991"/>
          <c:y val="0"/>
          <c:w val="0.66415892000545673"/>
          <c:h val="0.46933866457409923"/>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1A6-4697-8824-58788C9CBE28}"/>
            </c:ext>
          </c:extLst>
        </c:ser>
        <c:dLbls>
          <c:showLegendKey val="0"/>
          <c:showVal val="0"/>
          <c:showCatName val="0"/>
          <c:showSerName val="0"/>
          <c:showPercent val="0"/>
          <c:showBubbleSize val="0"/>
        </c:dLbls>
        <c:axId val="1691274512"/>
        <c:axId val="1691284112"/>
      </c:areaChart>
      <c:catAx>
        <c:axId val="1691274512"/>
        <c:scaling>
          <c:orientation val="minMax"/>
        </c:scaling>
        <c:delete val="1"/>
        <c:axPos val="b"/>
        <c:numFmt formatCode="General" sourceLinked="1"/>
        <c:majorTickMark val="out"/>
        <c:minorTickMark val="none"/>
        <c:tickLblPos val="nextTo"/>
        <c:crossAx val="1691284112"/>
        <c:crosses val="autoZero"/>
        <c:auto val="1"/>
        <c:lblAlgn val="ctr"/>
        <c:lblOffset val="100"/>
        <c:noMultiLvlLbl val="0"/>
      </c:catAx>
      <c:valAx>
        <c:axId val="1691284112"/>
        <c:scaling>
          <c:orientation val="minMax"/>
        </c:scaling>
        <c:delete val="1"/>
        <c:axPos val="l"/>
        <c:numFmt formatCode="General" sourceLinked="1"/>
        <c:majorTickMark val="none"/>
        <c:minorTickMark val="none"/>
        <c:tickLblPos val="nextTo"/>
        <c:crossAx val="1691274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22356300995857E-2"/>
          <c:y val="0.44475361063842994"/>
          <c:w val="0.95234316002003327"/>
          <c:h val="0.31265351083151732"/>
        </c:manualLayout>
      </c:layout>
      <c:areaChart>
        <c:grouping val="standard"/>
        <c:varyColors val="0"/>
        <c:ser>
          <c:idx val="0"/>
          <c:order val="0"/>
          <c:tx>
            <c:strRef>
              <c:f>'Pivot Report'!$I$4</c:f>
              <c:strCache>
                <c:ptCount val="1"/>
                <c:pt idx="0">
                  <c:v>Total</c:v>
                </c:pt>
              </c:strCache>
            </c:strRef>
          </c:tx>
          <c:spPr>
            <a:solidFill>
              <a:schemeClr val="accent1"/>
            </a:solidFill>
            <a:ln>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1AF-476A-B369-76B08686D8F2}"/>
            </c:ext>
          </c:extLst>
        </c:ser>
        <c:dLbls>
          <c:showLegendKey val="0"/>
          <c:showVal val="0"/>
          <c:showCatName val="0"/>
          <c:showSerName val="0"/>
          <c:showPercent val="0"/>
          <c:showBubbleSize val="0"/>
        </c:dLbls>
        <c:axId val="1013602112"/>
        <c:axId val="1013600672"/>
      </c:areaChart>
      <c:catAx>
        <c:axId val="1013602112"/>
        <c:scaling>
          <c:orientation val="minMax"/>
        </c:scaling>
        <c:delete val="1"/>
        <c:axPos val="b"/>
        <c:numFmt formatCode="General" sourceLinked="1"/>
        <c:majorTickMark val="out"/>
        <c:minorTickMark val="none"/>
        <c:tickLblPos val="nextTo"/>
        <c:crossAx val="1013600672"/>
        <c:crosses val="autoZero"/>
        <c:auto val="1"/>
        <c:lblAlgn val="ctr"/>
        <c:lblOffset val="100"/>
        <c:noMultiLvlLbl val="0"/>
      </c:catAx>
      <c:valAx>
        <c:axId val="1013600672"/>
        <c:scaling>
          <c:orientation val="minMax"/>
        </c:scaling>
        <c:delete val="1"/>
        <c:axPos val="l"/>
        <c:numFmt formatCode="0.00" sourceLinked="1"/>
        <c:majorTickMark val="none"/>
        <c:minorTickMark val="none"/>
        <c:tickLblPos val="nextTo"/>
        <c:crossAx val="1013602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2613607727484E-2"/>
          <c:y val="0.22307705819325149"/>
          <c:w val="0.97954686778354305"/>
          <c:h val="0.68397416755956042"/>
        </c:manualLayout>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57B8-4CEC-A7DF-AEEDE4534FDC}"/>
            </c:ext>
          </c:extLst>
        </c:ser>
        <c:dLbls>
          <c:showLegendKey val="0"/>
          <c:showVal val="0"/>
          <c:showCatName val="0"/>
          <c:showSerName val="0"/>
          <c:showPercent val="0"/>
          <c:showBubbleSize val="0"/>
        </c:dLbls>
        <c:axId val="1691280752"/>
        <c:axId val="1691282672"/>
      </c:areaChart>
      <c:catAx>
        <c:axId val="1691280752"/>
        <c:scaling>
          <c:orientation val="minMax"/>
        </c:scaling>
        <c:delete val="1"/>
        <c:axPos val="b"/>
        <c:numFmt formatCode="General" sourceLinked="1"/>
        <c:majorTickMark val="out"/>
        <c:minorTickMark val="none"/>
        <c:tickLblPos val="nextTo"/>
        <c:crossAx val="1691282672"/>
        <c:crosses val="autoZero"/>
        <c:auto val="1"/>
        <c:lblAlgn val="ctr"/>
        <c:lblOffset val="100"/>
        <c:noMultiLvlLbl val="0"/>
      </c:catAx>
      <c:valAx>
        <c:axId val="1691282672"/>
        <c:scaling>
          <c:orientation val="minMax"/>
        </c:scaling>
        <c:delete val="1"/>
        <c:axPos val="l"/>
        <c:numFmt formatCode="0.00" sourceLinked="1"/>
        <c:majorTickMark val="none"/>
        <c:minorTickMark val="none"/>
        <c:tickLblPos val="nextTo"/>
        <c:crossAx val="169128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0-9</c:v>
                </c:pt>
                <c:pt idx="1">
                  <c:v>10-9</c:v>
                </c:pt>
                <c:pt idx="2">
                  <c:v>20-29</c:v>
                </c:pt>
                <c:pt idx="3">
                  <c:v>30-39</c:v>
                </c:pt>
                <c:pt idx="4">
                  <c:v>40-49</c:v>
                </c:pt>
                <c:pt idx="5">
                  <c:v>50-59</c:v>
                </c:pt>
                <c:pt idx="6">
                  <c:v>60-69</c:v>
                </c:pt>
                <c:pt idx="7">
                  <c:v>70-79</c:v>
                </c:pt>
              </c:strCache>
            </c:strRef>
          </c:cat>
          <c:val>
            <c:numRef>
              <c:f>'Pivot Report'!$B$57:$B$65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471B-4662-8448-B798DB7C3B87}"/>
            </c:ext>
          </c:extLst>
        </c:ser>
        <c:dLbls>
          <c:showLegendKey val="0"/>
          <c:showVal val="0"/>
          <c:showCatName val="0"/>
          <c:showSerName val="0"/>
          <c:showPercent val="0"/>
          <c:showBubbleSize val="0"/>
        </c:dLbls>
        <c:gapWidth val="219"/>
        <c:overlap val="-27"/>
        <c:axId val="236871552"/>
        <c:axId val="1704230528"/>
      </c:barChart>
      <c:catAx>
        <c:axId val="2368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0528"/>
        <c:crosses val="autoZero"/>
        <c:auto val="1"/>
        <c:lblAlgn val="ctr"/>
        <c:lblOffset val="100"/>
        <c:noMultiLvlLbl val="0"/>
      </c:catAx>
      <c:valAx>
        <c:axId val="1704230528"/>
        <c:scaling>
          <c:orientation val="minMax"/>
        </c:scaling>
        <c:delete val="1"/>
        <c:axPos val="l"/>
        <c:numFmt formatCode="0" sourceLinked="1"/>
        <c:majorTickMark val="none"/>
        <c:minorTickMark val="none"/>
        <c:tickLblPos val="nextTo"/>
        <c:crossAx val="23687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Report!PivotTable10</c:name>
    <c:fmtId val="10"/>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32440111708233077"/>
          <c:y val="0.18484455348818388"/>
          <c:w val="0.47300344345671186"/>
          <c:h val="0.65066795713380865"/>
        </c:manualLayout>
      </c:layout>
      <c:pie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587-428B-A3B4-439B831A7A83}"/>
              </c:ext>
            </c:extLst>
          </c:dPt>
          <c:dPt>
            <c:idx val="1"/>
            <c:bubble3D val="0"/>
            <c:spPr>
              <a:solidFill>
                <a:schemeClr val="accent2"/>
              </a:solidFill>
              <a:ln>
                <a:noFill/>
              </a:ln>
              <a:effectLst/>
            </c:spPr>
            <c:extLst>
              <c:ext xmlns:c16="http://schemas.microsoft.com/office/drawing/2014/chart" uri="{C3380CC4-5D6E-409C-BE32-E72D297353CC}">
                <c16:uniqueId val="{00000003-8587-428B-A3B4-439B831A7A83}"/>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316</c:v>
                </c:pt>
                <c:pt idx="1">
                  <c:v>197</c:v>
                </c:pt>
              </c:numCache>
            </c:numRef>
          </c:val>
          <c:extLst>
            <c:ext xmlns:c16="http://schemas.microsoft.com/office/drawing/2014/chart" uri="{C3380CC4-5D6E-409C-BE32-E72D297353CC}">
              <c16:uniqueId val="{00000004-8587-428B-A3B4-439B831A7A8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20978671699780521"/>
          <c:y val="2.6764619920555101E-2"/>
          <c:w val="0.73959999231585671"/>
          <c:h val="0.18532269799022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Report!PivotTable11</c:name>
    <c:fmtId val="2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106566294148105"/>
          <c:y val="0.24817808340711531"/>
          <c:w val="0.36479786844141415"/>
          <c:h val="0.56767933543725091"/>
        </c:manualLayout>
      </c:layout>
      <c:doughnutChart>
        <c:varyColors val="1"/>
        <c:ser>
          <c:idx val="0"/>
          <c:order val="0"/>
          <c:tx>
            <c:strRef>
              <c:f>'Pivot Report'!$B$77</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61-408B-B483-9854066E87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61-408B-B483-9854066E87CD}"/>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c:formatCode>
                <c:ptCount val="2"/>
                <c:pt idx="0">
                  <c:v>241</c:v>
                </c:pt>
                <c:pt idx="1">
                  <c:v>272</c:v>
                </c:pt>
              </c:numCache>
            </c:numRef>
          </c:val>
          <c:extLst>
            <c:ext xmlns:c16="http://schemas.microsoft.com/office/drawing/2014/chart" uri="{C3380CC4-5D6E-409C-BE32-E72D297353CC}">
              <c16:uniqueId val="{00000004-F861-408B-B483-9854066E87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135770508397666"/>
          <c:y val="6.2556241773084692E-2"/>
          <c:w val="0.57609501259504459"/>
          <c:h val="0.1531125125157748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51515693314729"/>
          <c:y val="4.1030531884923248E-2"/>
          <c:w val="0.66532439416768085"/>
          <c:h val="0.80041778157688259"/>
        </c:manualLayout>
      </c:layout>
      <c:barChart>
        <c:barDir val="bar"/>
        <c:grouping val="clustered"/>
        <c:varyColors val="0"/>
        <c:ser>
          <c:idx val="0"/>
          <c:order val="0"/>
          <c:tx>
            <c:strRef>
              <c:f>'Pivot Report'!$B$83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Report'!$A$84:$A$92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Report'!$B$84:$B$92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AEFD-4E4B-BC69-75E23E1159F4}"/>
            </c:ext>
          </c:extLst>
        </c:ser>
        <c:dLbls>
          <c:showLegendKey val="0"/>
          <c:showVal val="0"/>
          <c:showCatName val="0"/>
          <c:showSerName val="0"/>
          <c:showPercent val="0"/>
          <c:showBubbleSize val="0"/>
        </c:dLbls>
        <c:gapWidth val="137"/>
        <c:axId val="1875911216"/>
        <c:axId val="1875913136"/>
      </c:barChart>
      <c:catAx>
        <c:axId val="187591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75913136"/>
        <c:crosses val="autoZero"/>
        <c:auto val="1"/>
        <c:lblAlgn val="ctr"/>
        <c:lblOffset val="100"/>
        <c:noMultiLvlLbl val="0"/>
      </c:catAx>
      <c:valAx>
        <c:axId val="1875913136"/>
        <c:scaling>
          <c:orientation val="minMax"/>
        </c:scaling>
        <c:delete val="1"/>
        <c:axPos val="b"/>
        <c:numFmt formatCode="0" sourceLinked="1"/>
        <c:majorTickMark val="none"/>
        <c:minorTickMark val="none"/>
        <c:tickLblPos val="nextTo"/>
        <c:crossAx val="187591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77302529939249E-2"/>
          <c:y val="7.0430053113687691E-2"/>
          <c:w val="0.83318902730949063"/>
          <c:h val="0.55180377843394579"/>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08C-438C-B4D4-31AF996879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1274512"/>
        <c:axId val="1691284112"/>
      </c:areaChart>
      <c:catAx>
        <c:axId val="16912745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1284112"/>
        <c:crosses val="autoZero"/>
        <c:auto val="1"/>
        <c:lblAlgn val="ctr"/>
        <c:lblOffset val="100"/>
        <c:noMultiLvlLbl val="0"/>
      </c:catAx>
      <c:valAx>
        <c:axId val="1691284112"/>
        <c:scaling>
          <c:orientation val="minMax"/>
        </c:scaling>
        <c:delete val="1"/>
        <c:axPos val="l"/>
        <c:numFmt formatCode="General" sourceLinked="1"/>
        <c:majorTickMark val="out"/>
        <c:minorTickMark val="none"/>
        <c:tickLblPos val="nextTo"/>
        <c:crossAx val="1691274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22356300995857E-2"/>
          <c:y val="5.3230495972486198E-2"/>
          <c:w val="0.95234316002003327"/>
          <c:h val="0.74728001402841904"/>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758C-4018-A8F8-EFB05CC60C5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13602112"/>
        <c:axId val="1013600672"/>
      </c:areaChart>
      <c:catAx>
        <c:axId val="10136021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3600672"/>
        <c:crosses val="autoZero"/>
        <c:auto val="1"/>
        <c:lblAlgn val="ctr"/>
        <c:lblOffset val="100"/>
        <c:noMultiLvlLbl val="0"/>
      </c:catAx>
      <c:valAx>
        <c:axId val="1013600672"/>
        <c:scaling>
          <c:orientation val="minMax"/>
        </c:scaling>
        <c:delete val="1"/>
        <c:axPos val="l"/>
        <c:numFmt formatCode="0.00" sourceLinked="1"/>
        <c:majorTickMark val="out"/>
        <c:minorTickMark val="none"/>
        <c:tickLblPos val="nextTo"/>
        <c:crossAx val="1013602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emergency dash board.xlsx]Pivot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2613607727484E-2"/>
          <c:y val="0.22307705819325149"/>
          <c:w val="0.97954686778354305"/>
          <c:h val="0.68397416755956042"/>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B051-44DA-8C70-22D6F6B778E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1280752"/>
        <c:axId val="1691282672"/>
      </c:areaChart>
      <c:catAx>
        <c:axId val="16912807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1282672"/>
        <c:crosses val="autoZero"/>
        <c:auto val="1"/>
        <c:lblAlgn val="ctr"/>
        <c:lblOffset val="100"/>
        <c:noMultiLvlLbl val="0"/>
      </c:catAx>
      <c:valAx>
        <c:axId val="1691282672"/>
        <c:scaling>
          <c:orientation val="minMax"/>
        </c:scaling>
        <c:delete val="1"/>
        <c:axPos val="l"/>
        <c:numFmt formatCode="0.00" sourceLinked="1"/>
        <c:majorTickMark val="out"/>
        <c:minorTickMark val="none"/>
        <c:tickLblPos val="nextTo"/>
        <c:crossAx val="169128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fica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91440</xdr:colOff>
      <xdr:row>51</xdr:row>
      <xdr:rowOff>99060</xdr:rowOff>
    </xdr:from>
    <xdr:to>
      <xdr:col>5</xdr:col>
      <xdr:colOff>274320</xdr:colOff>
      <xdr:row>55</xdr:row>
      <xdr:rowOff>76200</xdr:rowOff>
    </xdr:to>
    <xdr:graphicFrame macro="">
      <xdr:nvGraphicFramePr>
        <xdr:cNvPr id="6" name="Chart 5">
          <a:extLst>
            <a:ext uri="{FF2B5EF4-FFF2-40B4-BE49-F238E27FC236}">
              <a16:creationId xmlns:a16="http://schemas.microsoft.com/office/drawing/2014/main" id="{EB4B8EE5-3CB0-AFC1-3EF1-F5AEBA08D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60795</xdr:colOff>
      <xdr:row>0</xdr:row>
      <xdr:rowOff>70628</xdr:rowOff>
    </xdr:from>
    <xdr:to>
      <xdr:col>6</xdr:col>
      <xdr:colOff>21466</xdr:colOff>
      <xdr:row>3</xdr:row>
      <xdr:rowOff>50963</xdr:rowOff>
    </xdr:to>
    <xdr:sp macro="" textlink="">
      <xdr:nvSpPr>
        <xdr:cNvPr id="2" name="Rectangle: Rounded Corners 1">
          <a:extLst>
            <a:ext uri="{FF2B5EF4-FFF2-40B4-BE49-F238E27FC236}">
              <a16:creationId xmlns:a16="http://schemas.microsoft.com/office/drawing/2014/main" id="{85179CB7-C19E-FC83-BDFB-BA1BB6B6AB45}"/>
            </a:ext>
          </a:extLst>
        </xdr:cNvPr>
        <xdr:cNvSpPr/>
      </xdr:nvSpPr>
      <xdr:spPr>
        <a:xfrm>
          <a:off x="60795" y="70628"/>
          <a:ext cx="3611183" cy="529684"/>
        </a:xfrm>
        <a:prstGeom prst="roundRect">
          <a:avLst>
            <a:gd name="adj" fmla="val 77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a:t>
          </a:r>
        </a:p>
      </xdr:txBody>
    </xdr:sp>
    <xdr:clientData/>
  </xdr:twoCellAnchor>
  <xdr:twoCellAnchor editAs="absolute">
    <xdr:from>
      <xdr:col>6</xdr:col>
      <xdr:colOff>58994</xdr:colOff>
      <xdr:row>0</xdr:row>
      <xdr:rowOff>58994</xdr:rowOff>
    </xdr:from>
    <xdr:to>
      <xdr:col>7</xdr:col>
      <xdr:colOff>353962</xdr:colOff>
      <xdr:row>3</xdr:row>
      <xdr:rowOff>39329</xdr:rowOff>
    </xdr:to>
    <xdr:sp macro="" textlink="">
      <xdr:nvSpPr>
        <xdr:cNvPr id="4" name="Rectangle: Rounded Corners 3">
          <a:extLst>
            <a:ext uri="{FF2B5EF4-FFF2-40B4-BE49-F238E27FC236}">
              <a16:creationId xmlns:a16="http://schemas.microsoft.com/office/drawing/2014/main" id="{716075A2-5053-35CB-4492-76285CC43733}"/>
            </a:ext>
          </a:extLst>
        </xdr:cNvPr>
        <xdr:cNvSpPr/>
      </xdr:nvSpPr>
      <xdr:spPr>
        <a:xfrm>
          <a:off x="3716594" y="58994"/>
          <a:ext cx="904568" cy="5260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382557</xdr:colOff>
      <xdr:row>0</xdr:row>
      <xdr:rowOff>82261</xdr:rowOff>
    </xdr:from>
    <xdr:to>
      <xdr:col>9</xdr:col>
      <xdr:colOff>488611</xdr:colOff>
      <xdr:row>6</xdr:row>
      <xdr:rowOff>63984</xdr:rowOff>
    </xdr:to>
    <xdr:sp macro="" textlink="">
      <xdr:nvSpPr>
        <xdr:cNvPr id="5" name="Rectangle: Rounded Corners 4">
          <a:extLst>
            <a:ext uri="{FF2B5EF4-FFF2-40B4-BE49-F238E27FC236}">
              <a16:creationId xmlns:a16="http://schemas.microsoft.com/office/drawing/2014/main" id="{B63D0EB1-56A3-23FE-42BB-E137429A7D93}"/>
            </a:ext>
          </a:extLst>
        </xdr:cNvPr>
        <xdr:cNvSpPr/>
      </xdr:nvSpPr>
      <xdr:spPr>
        <a:xfrm>
          <a:off x="4657901" y="82261"/>
          <a:ext cx="1327580" cy="1063647"/>
        </a:xfrm>
        <a:prstGeom prst="roundRect">
          <a:avLst>
            <a:gd name="adj" fmla="val 95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521485</xdr:colOff>
      <xdr:row>0</xdr:row>
      <xdr:rowOff>70628</xdr:rowOff>
    </xdr:from>
    <xdr:to>
      <xdr:col>11</xdr:col>
      <xdr:colOff>552595</xdr:colOff>
      <xdr:row>6</xdr:row>
      <xdr:rowOff>46534</xdr:rowOff>
    </xdr:to>
    <xdr:sp macro="" textlink="">
      <xdr:nvSpPr>
        <xdr:cNvPr id="6" name="Rectangle: Rounded Corners 5">
          <a:extLst>
            <a:ext uri="{FF2B5EF4-FFF2-40B4-BE49-F238E27FC236}">
              <a16:creationId xmlns:a16="http://schemas.microsoft.com/office/drawing/2014/main" id="{DB221ACB-E3C0-08C9-E612-DBAC79049EE8}"/>
            </a:ext>
          </a:extLst>
        </xdr:cNvPr>
        <xdr:cNvSpPr/>
      </xdr:nvSpPr>
      <xdr:spPr>
        <a:xfrm>
          <a:off x="5997252" y="70628"/>
          <a:ext cx="1247948" cy="1074604"/>
        </a:xfrm>
        <a:prstGeom prst="roundRect">
          <a:avLst>
            <a:gd name="adj" fmla="val 100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49162</xdr:colOff>
      <xdr:row>3</xdr:row>
      <xdr:rowOff>83573</xdr:rowOff>
    </xdr:from>
    <xdr:to>
      <xdr:col>1</xdr:col>
      <xdr:colOff>54078</xdr:colOff>
      <xdr:row>17</xdr:row>
      <xdr:rowOff>133786</xdr:rowOff>
    </xdr:to>
    <xdr:sp macro="" textlink="">
      <xdr:nvSpPr>
        <xdr:cNvPr id="7" name="Rectangle: Rounded Corners 6">
          <a:extLst>
            <a:ext uri="{FF2B5EF4-FFF2-40B4-BE49-F238E27FC236}">
              <a16:creationId xmlns:a16="http://schemas.microsoft.com/office/drawing/2014/main" id="{25AD19C6-EAFC-8BBB-75C2-8DB7985D3199}"/>
            </a:ext>
          </a:extLst>
        </xdr:cNvPr>
        <xdr:cNvSpPr/>
      </xdr:nvSpPr>
      <xdr:spPr>
        <a:xfrm>
          <a:off x="49162" y="624535"/>
          <a:ext cx="615679" cy="2574701"/>
        </a:xfrm>
        <a:prstGeom prst="roundRect">
          <a:avLst>
            <a:gd name="adj" fmla="val 157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93069</xdr:colOff>
      <xdr:row>3</xdr:row>
      <xdr:rowOff>74643</xdr:rowOff>
    </xdr:from>
    <xdr:to>
      <xdr:col>7</xdr:col>
      <xdr:colOff>360688</xdr:colOff>
      <xdr:row>6</xdr:row>
      <xdr:rowOff>118887</xdr:rowOff>
    </xdr:to>
    <xdr:grpSp>
      <xdr:nvGrpSpPr>
        <xdr:cNvPr id="11" name="Group 10">
          <a:extLst>
            <a:ext uri="{FF2B5EF4-FFF2-40B4-BE49-F238E27FC236}">
              <a16:creationId xmlns:a16="http://schemas.microsoft.com/office/drawing/2014/main" id="{66D05473-E2BB-40B7-BEDD-16D4DD1ECDF2}"/>
            </a:ext>
          </a:extLst>
        </xdr:cNvPr>
        <xdr:cNvGrpSpPr/>
      </xdr:nvGrpSpPr>
      <xdr:grpSpPr>
        <a:xfrm>
          <a:off x="702669" y="619766"/>
          <a:ext cx="3925219" cy="589367"/>
          <a:chOff x="686158" y="609600"/>
          <a:chExt cx="3925180" cy="589935"/>
        </a:xfrm>
      </xdr:grpSpPr>
      <xdr:sp macro="" textlink="">
        <xdr:nvSpPr>
          <xdr:cNvPr id="8" name="Rectangle: Rounded Corners 7">
            <a:extLst>
              <a:ext uri="{FF2B5EF4-FFF2-40B4-BE49-F238E27FC236}">
                <a16:creationId xmlns:a16="http://schemas.microsoft.com/office/drawing/2014/main" id="{019DA843-ABFF-40A7-0415-1A344D1117C4}"/>
              </a:ext>
            </a:extLst>
          </xdr:cNvPr>
          <xdr:cNvSpPr/>
        </xdr:nvSpPr>
        <xdr:spPr>
          <a:xfrm>
            <a:off x="686158" y="629264"/>
            <a:ext cx="1437610" cy="5702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7A581EE-F1DD-6E78-2609-7DDF753400A3}"/>
              </a:ext>
            </a:extLst>
          </xdr:cNvPr>
          <xdr:cNvSpPr/>
        </xdr:nvSpPr>
        <xdr:spPr>
          <a:xfrm>
            <a:off x="2158180" y="629264"/>
            <a:ext cx="1263444" cy="5702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3B23641-0D1D-B634-7FB1-60EE5ED3BFC8}"/>
              </a:ext>
            </a:extLst>
          </xdr:cNvPr>
          <xdr:cNvSpPr/>
        </xdr:nvSpPr>
        <xdr:spPr>
          <a:xfrm>
            <a:off x="3456040" y="609600"/>
            <a:ext cx="1155298" cy="5702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81434</xdr:colOff>
      <xdr:row>6</xdr:row>
      <xdr:rowOff>158217</xdr:rowOff>
    </xdr:from>
    <xdr:to>
      <xdr:col>7</xdr:col>
      <xdr:colOff>344128</xdr:colOff>
      <xdr:row>11</xdr:row>
      <xdr:rowOff>0</xdr:rowOff>
    </xdr:to>
    <xdr:sp macro="" textlink="">
      <xdr:nvSpPr>
        <xdr:cNvPr id="12" name="Rectangle: Rounded Corners 11">
          <a:extLst>
            <a:ext uri="{FF2B5EF4-FFF2-40B4-BE49-F238E27FC236}">
              <a16:creationId xmlns:a16="http://schemas.microsoft.com/office/drawing/2014/main" id="{8F5E93CA-A899-DDA5-CCDC-8CDBA1DCB499}"/>
            </a:ext>
          </a:extLst>
        </xdr:cNvPr>
        <xdr:cNvSpPr/>
      </xdr:nvSpPr>
      <xdr:spPr>
        <a:xfrm>
          <a:off x="692197" y="1240141"/>
          <a:ext cx="3927275" cy="743386"/>
        </a:xfrm>
        <a:prstGeom prst="roundRect">
          <a:avLst>
            <a:gd name="adj" fmla="val 1040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83574</xdr:colOff>
      <xdr:row>11</xdr:row>
      <xdr:rowOff>29085</xdr:rowOff>
    </xdr:from>
    <xdr:to>
      <xdr:col>7</xdr:col>
      <xdr:colOff>343190</xdr:colOff>
      <xdr:row>17</xdr:row>
      <xdr:rowOff>127970</xdr:rowOff>
    </xdr:to>
    <xdr:sp macro="" textlink="">
      <xdr:nvSpPr>
        <xdr:cNvPr id="13" name="Rectangle: Rounded Corners 12">
          <a:extLst>
            <a:ext uri="{FF2B5EF4-FFF2-40B4-BE49-F238E27FC236}">
              <a16:creationId xmlns:a16="http://schemas.microsoft.com/office/drawing/2014/main" id="{ED75C9D0-101E-30B0-ECB8-59714BD95A0E}"/>
            </a:ext>
          </a:extLst>
        </xdr:cNvPr>
        <xdr:cNvSpPr/>
      </xdr:nvSpPr>
      <xdr:spPr>
        <a:xfrm>
          <a:off x="691993" y="2043364"/>
          <a:ext cx="3910127" cy="1197583"/>
        </a:xfrm>
        <a:prstGeom prst="roundRect">
          <a:avLst>
            <a:gd name="adj" fmla="val 108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372275</xdr:colOff>
      <xdr:row>6</xdr:row>
      <xdr:rowOff>81436</xdr:rowOff>
    </xdr:from>
    <xdr:to>
      <xdr:col>11</xdr:col>
      <xdr:colOff>529330</xdr:colOff>
      <xdr:row>17</xdr:row>
      <xdr:rowOff>139604</xdr:rowOff>
    </xdr:to>
    <xdr:sp macro="" textlink="">
      <xdr:nvSpPr>
        <xdr:cNvPr id="17" name="Rectangle: Rounded Corners 16">
          <a:extLst>
            <a:ext uri="{FF2B5EF4-FFF2-40B4-BE49-F238E27FC236}">
              <a16:creationId xmlns:a16="http://schemas.microsoft.com/office/drawing/2014/main" id="{1888B0D8-F7CF-FED2-8AA1-DEE0E3C3B69C}"/>
            </a:ext>
          </a:extLst>
        </xdr:cNvPr>
        <xdr:cNvSpPr/>
      </xdr:nvSpPr>
      <xdr:spPr>
        <a:xfrm>
          <a:off x="4631205" y="1180134"/>
          <a:ext cx="2590730" cy="2072447"/>
        </a:xfrm>
        <a:prstGeom prst="roundRect">
          <a:avLst>
            <a:gd name="adj" fmla="val 105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197827</xdr:colOff>
      <xdr:row>0</xdr:row>
      <xdr:rowOff>161193</xdr:rowOff>
    </xdr:from>
    <xdr:to>
      <xdr:col>5</xdr:col>
      <xdr:colOff>340393</xdr:colOff>
      <xdr:row>2</xdr:row>
      <xdr:rowOff>47822</xdr:rowOff>
    </xdr:to>
    <xdr:sp macro="" textlink="">
      <xdr:nvSpPr>
        <xdr:cNvPr id="18" name="TextBox 17">
          <a:extLst>
            <a:ext uri="{FF2B5EF4-FFF2-40B4-BE49-F238E27FC236}">
              <a16:creationId xmlns:a16="http://schemas.microsoft.com/office/drawing/2014/main" id="{D6C877FB-F705-8D37-21E4-16EB8BA99B6E}"/>
            </a:ext>
          </a:extLst>
        </xdr:cNvPr>
        <xdr:cNvSpPr txBox="1"/>
      </xdr:nvSpPr>
      <xdr:spPr>
        <a:xfrm>
          <a:off x="805962" y="161193"/>
          <a:ext cx="2575104" cy="252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200" b="1"/>
            <a:t>Hospital</a:t>
          </a:r>
          <a:r>
            <a:rPr lang="en-IN" sz="1200" b="1" baseline="0"/>
            <a:t> Emergency Room Dashboard</a:t>
          </a:r>
        </a:p>
        <a:p>
          <a:endParaRPr lang="en-IN" sz="1200"/>
        </a:p>
      </xdr:txBody>
    </xdr:sp>
    <xdr:clientData/>
  </xdr:twoCellAnchor>
  <xdr:twoCellAnchor editAs="oneCell">
    <xdr:from>
      <xdr:col>0</xdr:col>
      <xdr:colOff>21981</xdr:colOff>
      <xdr:row>0</xdr:row>
      <xdr:rowOff>85741</xdr:rowOff>
    </xdr:from>
    <xdr:to>
      <xdr:col>1</xdr:col>
      <xdr:colOff>330271</xdr:colOff>
      <xdr:row>2</xdr:row>
      <xdr:rowOff>143910</xdr:rowOff>
    </xdr:to>
    <xdr:pic>
      <xdr:nvPicPr>
        <xdr:cNvPr id="20" name="Picture 19">
          <a:extLst>
            <a:ext uri="{FF2B5EF4-FFF2-40B4-BE49-F238E27FC236}">
              <a16:creationId xmlns:a16="http://schemas.microsoft.com/office/drawing/2014/main" id="{07EF06CD-90DE-CB94-495B-3E1E4C504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81" y="85741"/>
          <a:ext cx="916425" cy="424515"/>
        </a:xfrm>
        <a:prstGeom prst="rect">
          <a:avLst/>
        </a:prstGeom>
      </xdr:spPr>
    </xdr:pic>
    <xdr:clientData/>
  </xdr:twoCellAnchor>
  <xdr:twoCellAnchor editAs="absolute">
    <xdr:from>
      <xdr:col>2</xdr:col>
      <xdr:colOff>390897</xdr:colOff>
      <xdr:row>2</xdr:row>
      <xdr:rowOff>20740</xdr:rowOff>
    </xdr:from>
    <xdr:to>
      <xdr:col>3</xdr:col>
      <xdr:colOff>518867</xdr:colOff>
      <xdr:row>2</xdr:row>
      <xdr:rowOff>153582</xdr:rowOff>
    </xdr:to>
    <xdr:sp macro="" textlink="">
      <xdr:nvSpPr>
        <xdr:cNvPr id="21" name="TextBox 20">
          <a:extLst>
            <a:ext uri="{FF2B5EF4-FFF2-40B4-BE49-F238E27FC236}">
              <a16:creationId xmlns:a16="http://schemas.microsoft.com/office/drawing/2014/main" id="{4B1AAA1E-1350-FD25-6894-2077456E3150}"/>
            </a:ext>
          </a:extLst>
        </xdr:cNvPr>
        <xdr:cNvSpPr txBox="1"/>
      </xdr:nvSpPr>
      <xdr:spPr>
        <a:xfrm>
          <a:off x="1607734" y="386973"/>
          <a:ext cx="736389" cy="1328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900" b="1"/>
            <a:t>Monthly</a:t>
          </a:r>
          <a:r>
            <a:rPr lang="en-IN" sz="900" b="1" baseline="0"/>
            <a:t> Report</a:t>
          </a:r>
          <a:endParaRPr lang="en-IN" sz="900" b="1"/>
        </a:p>
      </xdr:txBody>
    </xdr:sp>
    <xdr:clientData/>
  </xdr:twoCellAnchor>
  <xdr:twoCellAnchor editAs="absolute">
    <xdr:from>
      <xdr:col>1</xdr:col>
      <xdr:colOff>116337</xdr:colOff>
      <xdr:row>4</xdr:row>
      <xdr:rowOff>145422</xdr:rowOff>
    </xdr:from>
    <xdr:to>
      <xdr:col>3</xdr:col>
      <xdr:colOff>309454</xdr:colOff>
      <xdr:row>5</xdr:row>
      <xdr:rowOff>100049</xdr:rowOff>
    </xdr:to>
    <xdr:sp macro="" textlink="">
      <xdr:nvSpPr>
        <xdr:cNvPr id="22" name="TextBox 21">
          <a:extLst>
            <a:ext uri="{FF2B5EF4-FFF2-40B4-BE49-F238E27FC236}">
              <a16:creationId xmlns:a16="http://schemas.microsoft.com/office/drawing/2014/main" id="{83A46550-1CF4-B0C7-908C-0EBA019CD272}"/>
            </a:ext>
          </a:extLst>
        </xdr:cNvPr>
        <xdr:cNvSpPr txBox="1"/>
      </xdr:nvSpPr>
      <xdr:spPr>
        <a:xfrm>
          <a:off x="727100" y="866704"/>
          <a:ext cx="1414644" cy="134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a:t>                   No.</a:t>
          </a:r>
          <a:r>
            <a:rPr lang="en-IN" sz="800" baseline="0"/>
            <a:t> of Patient</a:t>
          </a:r>
        </a:p>
        <a:p>
          <a:endParaRPr lang="en-IN" sz="800"/>
        </a:p>
      </xdr:txBody>
    </xdr:sp>
    <xdr:clientData/>
  </xdr:twoCellAnchor>
  <xdr:twoCellAnchor editAs="absolute">
    <xdr:from>
      <xdr:col>1</xdr:col>
      <xdr:colOff>116337</xdr:colOff>
      <xdr:row>3</xdr:row>
      <xdr:rowOff>162871</xdr:rowOff>
    </xdr:from>
    <xdr:to>
      <xdr:col>3</xdr:col>
      <xdr:colOff>309454</xdr:colOff>
      <xdr:row>4</xdr:row>
      <xdr:rowOff>117499</xdr:rowOff>
    </xdr:to>
    <xdr:sp macro="" textlink="'Pivot Report'!A5">
      <xdr:nvSpPr>
        <xdr:cNvPr id="23" name="TextBox 22">
          <a:extLst>
            <a:ext uri="{FF2B5EF4-FFF2-40B4-BE49-F238E27FC236}">
              <a16:creationId xmlns:a16="http://schemas.microsoft.com/office/drawing/2014/main" id="{06B5CC22-4BD3-3D6D-A3FA-616F2F7E02A3}"/>
            </a:ext>
          </a:extLst>
        </xdr:cNvPr>
        <xdr:cNvSpPr txBox="1"/>
      </xdr:nvSpPr>
      <xdr:spPr>
        <a:xfrm>
          <a:off x="727100" y="703833"/>
          <a:ext cx="1414644" cy="134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u="none" strike="noStrike">
              <a:solidFill>
                <a:srgbClr val="000000"/>
              </a:solidFill>
              <a:latin typeface="Aptos Narrow"/>
            </a:rPr>
            <a:t>                  </a:t>
          </a:r>
          <a:fld id="{FA4FFED1-55D7-405D-B735-FFC73F613CE1}" type="TxLink">
            <a:rPr lang="en-US" sz="1100" b="0" i="0" u="none" strike="noStrike">
              <a:solidFill>
                <a:srgbClr val="000000"/>
              </a:solidFill>
              <a:latin typeface="Aptos Narrow"/>
            </a:rPr>
            <a:pPr/>
            <a:t>485</a:t>
          </a:fld>
          <a:endParaRPr lang="en-US"/>
        </a:p>
      </xdr:txBody>
    </xdr:sp>
    <xdr:clientData/>
  </xdr:twoCellAnchor>
  <xdr:twoCellAnchor editAs="absolute">
    <xdr:from>
      <xdr:col>3</xdr:col>
      <xdr:colOff>366459</xdr:colOff>
      <xdr:row>4</xdr:row>
      <xdr:rowOff>145421</xdr:rowOff>
    </xdr:from>
    <xdr:to>
      <xdr:col>5</xdr:col>
      <xdr:colOff>349007</xdr:colOff>
      <xdr:row>5</xdr:row>
      <xdr:rowOff>110519</xdr:rowOff>
    </xdr:to>
    <xdr:sp macro="" textlink="">
      <xdr:nvSpPr>
        <xdr:cNvPr id="24" name="TextBox 23">
          <a:extLst>
            <a:ext uri="{FF2B5EF4-FFF2-40B4-BE49-F238E27FC236}">
              <a16:creationId xmlns:a16="http://schemas.microsoft.com/office/drawing/2014/main" id="{CC21F8AB-B418-018B-A7E3-F702A9C12DEB}"/>
            </a:ext>
          </a:extLst>
        </xdr:cNvPr>
        <xdr:cNvSpPr txBox="1"/>
      </xdr:nvSpPr>
      <xdr:spPr>
        <a:xfrm>
          <a:off x="2198749" y="866703"/>
          <a:ext cx="1204075" cy="145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a:t>                  Average</a:t>
          </a:r>
          <a:r>
            <a:rPr lang="en-IN" sz="800" baseline="0"/>
            <a:t> wait time</a:t>
          </a:r>
        </a:p>
        <a:p>
          <a:endParaRPr lang="en-IN" sz="800"/>
        </a:p>
      </xdr:txBody>
    </xdr:sp>
    <xdr:clientData/>
  </xdr:twoCellAnchor>
  <xdr:twoCellAnchor editAs="absolute">
    <xdr:from>
      <xdr:col>3</xdr:col>
      <xdr:colOff>366459</xdr:colOff>
      <xdr:row>3</xdr:row>
      <xdr:rowOff>162870</xdr:rowOff>
    </xdr:from>
    <xdr:to>
      <xdr:col>5</xdr:col>
      <xdr:colOff>349007</xdr:colOff>
      <xdr:row>4</xdr:row>
      <xdr:rowOff>127969</xdr:rowOff>
    </xdr:to>
    <xdr:sp macro="" textlink="'Pivot Report'!A9">
      <xdr:nvSpPr>
        <xdr:cNvPr id="25" name="TextBox 24">
          <a:extLst>
            <a:ext uri="{FF2B5EF4-FFF2-40B4-BE49-F238E27FC236}">
              <a16:creationId xmlns:a16="http://schemas.microsoft.com/office/drawing/2014/main" id="{D7D2C099-DFCD-3DFD-592E-81F58C5641D4}"/>
            </a:ext>
          </a:extLst>
        </xdr:cNvPr>
        <xdr:cNvSpPr txBox="1"/>
      </xdr:nvSpPr>
      <xdr:spPr>
        <a:xfrm>
          <a:off x="2198749" y="703832"/>
          <a:ext cx="1204075" cy="145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u="none" strike="noStrike">
              <a:solidFill>
                <a:srgbClr val="000000"/>
              </a:solidFill>
              <a:latin typeface="Aptos Narrow"/>
            </a:rPr>
            <a:t>                  </a:t>
          </a:r>
          <a:fld id="{BC7C5CC2-C021-42DD-843D-1B65501D9D9B}" type="TxLink">
            <a:rPr lang="en-US" sz="1100" b="0" i="0" u="none" strike="noStrike">
              <a:solidFill>
                <a:srgbClr val="000000"/>
              </a:solidFill>
              <a:latin typeface="Aptos Narrow"/>
            </a:rPr>
            <a:pPr/>
            <a:t>35.51</a:t>
          </a:fld>
          <a:endParaRPr lang="en-IN" sz="800"/>
        </a:p>
      </xdr:txBody>
    </xdr:sp>
    <xdr:clientData/>
  </xdr:twoCellAnchor>
  <xdr:twoCellAnchor editAs="absolute">
    <xdr:from>
      <xdr:col>5</xdr:col>
      <xdr:colOff>447893</xdr:colOff>
      <xdr:row>4</xdr:row>
      <xdr:rowOff>127971</xdr:rowOff>
    </xdr:from>
    <xdr:to>
      <xdr:col>7</xdr:col>
      <xdr:colOff>349007</xdr:colOff>
      <xdr:row>5</xdr:row>
      <xdr:rowOff>122154</xdr:rowOff>
    </xdr:to>
    <xdr:sp macro="" textlink="">
      <xdr:nvSpPr>
        <xdr:cNvPr id="28" name="TextBox 27">
          <a:extLst>
            <a:ext uri="{FF2B5EF4-FFF2-40B4-BE49-F238E27FC236}">
              <a16:creationId xmlns:a16="http://schemas.microsoft.com/office/drawing/2014/main" id="{442C08AD-6E3B-AC05-7B51-7FB50496CA5B}"/>
            </a:ext>
          </a:extLst>
        </xdr:cNvPr>
        <xdr:cNvSpPr txBox="1"/>
      </xdr:nvSpPr>
      <xdr:spPr>
        <a:xfrm>
          <a:off x="3501710" y="849253"/>
          <a:ext cx="1122641" cy="1745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a:t>  Patient</a:t>
          </a:r>
          <a:r>
            <a:rPr lang="en-IN" sz="800" baseline="0"/>
            <a:t> Satification Score</a:t>
          </a:r>
        </a:p>
        <a:p>
          <a:endParaRPr lang="en-IN" sz="800"/>
        </a:p>
      </xdr:txBody>
    </xdr:sp>
    <xdr:clientData/>
  </xdr:twoCellAnchor>
  <xdr:twoCellAnchor editAs="absolute">
    <xdr:from>
      <xdr:col>5</xdr:col>
      <xdr:colOff>447893</xdr:colOff>
      <xdr:row>3</xdr:row>
      <xdr:rowOff>138093</xdr:rowOff>
    </xdr:from>
    <xdr:to>
      <xdr:col>7</xdr:col>
      <xdr:colOff>349007</xdr:colOff>
      <xdr:row>4</xdr:row>
      <xdr:rowOff>181663</xdr:rowOff>
    </xdr:to>
    <xdr:sp macro="" textlink="'Pivot Report'!A12">
      <xdr:nvSpPr>
        <xdr:cNvPr id="29" name="TextBox 28">
          <a:extLst>
            <a:ext uri="{FF2B5EF4-FFF2-40B4-BE49-F238E27FC236}">
              <a16:creationId xmlns:a16="http://schemas.microsoft.com/office/drawing/2014/main" id="{CE06679F-9451-7E4E-5F87-8724F8DAFAFE}"/>
            </a:ext>
          </a:extLst>
        </xdr:cNvPr>
        <xdr:cNvSpPr txBox="1"/>
      </xdr:nvSpPr>
      <xdr:spPr>
        <a:xfrm>
          <a:off x="3488566" y="687612"/>
          <a:ext cx="1117383" cy="226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u="none" strike="noStrike">
              <a:solidFill>
                <a:srgbClr val="000000"/>
              </a:solidFill>
              <a:latin typeface="Aptos Narrow"/>
            </a:rPr>
            <a:t>                </a:t>
          </a:r>
          <a:fld id="{0908CAB3-22B9-4461-8B37-85E7B55415D4}" type="TxLink">
            <a:rPr lang="en-US" sz="1100" b="0" i="0" u="none" strike="noStrike">
              <a:solidFill>
                <a:srgbClr val="000000"/>
              </a:solidFill>
              <a:latin typeface="Aptos Narrow"/>
            </a:rPr>
            <a:pPr/>
            <a:t>4.71</a:t>
          </a:fld>
          <a:endParaRPr lang="en-US" sz="1100" b="0" i="0" u="none" strike="noStrike">
            <a:solidFill>
              <a:srgbClr val="000000"/>
            </a:solidFill>
            <a:latin typeface="Aptos Narrow"/>
          </a:endParaRPr>
        </a:p>
      </xdr:txBody>
    </xdr:sp>
    <xdr:clientData/>
  </xdr:twoCellAnchor>
  <xdr:twoCellAnchor editAs="oneCell">
    <xdr:from>
      <xdr:col>2</xdr:col>
      <xdr:colOff>526872</xdr:colOff>
      <xdr:row>3</xdr:row>
      <xdr:rowOff>139603</xdr:rowOff>
    </xdr:from>
    <xdr:to>
      <xdr:col>3</xdr:col>
      <xdr:colOff>290841</xdr:colOff>
      <xdr:row>4</xdr:row>
      <xdr:rowOff>161193</xdr:rowOff>
    </xdr:to>
    <xdr:pic>
      <xdr:nvPicPr>
        <xdr:cNvPr id="31" name="Graphic 30" descr="Male profile with solid fill">
          <a:extLst>
            <a:ext uri="{FF2B5EF4-FFF2-40B4-BE49-F238E27FC236}">
              <a16:creationId xmlns:a16="http://schemas.microsoft.com/office/drawing/2014/main" id="{A1D45F68-2036-6963-AFD1-72A7488D9DB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3141" y="689122"/>
          <a:ext cx="372104" cy="204763"/>
        </a:xfrm>
        <a:prstGeom prst="rect">
          <a:avLst/>
        </a:prstGeom>
      </xdr:spPr>
    </xdr:pic>
    <xdr:clientData/>
  </xdr:twoCellAnchor>
  <xdr:twoCellAnchor editAs="oneCell">
    <xdr:from>
      <xdr:col>6</xdr:col>
      <xdr:colOff>581680</xdr:colOff>
      <xdr:row>3</xdr:row>
      <xdr:rowOff>121705</xdr:rowOff>
    </xdr:from>
    <xdr:to>
      <xdr:col>7</xdr:col>
      <xdr:colOff>319923</xdr:colOff>
      <xdr:row>4</xdr:row>
      <xdr:rowOff>75619</xdr:rowOff>
    </xdr:to>
    <xdr:pic>
      <xdr:nvPicPr>
        <xdr:cNvPr id="33" name="Graphic 32" descr="Customer review with solid fill">
          <a:extLst>
            <a:ext uri="{FF2B5EF4-FFF2-40B4-BE49-F238E27FC236}">
              <a16:creationId xmlns:a16="http://schemas.microsoft.com/office/drawing/2014/main" id="{C164E37B-2B3A-F1F2-43A3-53D7943FC5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46260" y="662667"/>
          <a:ext cx="349007" cy="134234"/>
        </a:xfrm>
        <a:prstGeom prst="rect">
          <a:avLst/>
        </a:prstGeom>
      </xdr:spPr>
    </xdr:pic>
    <xdr:clientData/>
  </xdr:twoCellAnchor>
  <xdr:twoCellAnchor editAs="oneCell">
    <xdr:from>
      <xdr:col>4</xdr:col>
      <xdr:colOff>604946</xdr:colOff>
      <xdr:row>3</xdr:row>
      <xdr:rowOff>127969</xdr:rowOff>
    </xdr:from>
    <xdr:to>
      <xdr:col>5</xdr:col>
      <xdr:colOff>349007</xdr:colOff>
      <xdr:row>4</xdr:row>
      <xdr:rowOff>183116</xdr:rowOff>
    </xdr:to>
    <xdr:pic>
      <xdr:nvPicPr>
        <xdr:cNvPr id="37" name="Graphic 36" descr="Hourglass Finished with solid fill">
          <a:extLst>
            <a:ext uri="{FF2B5EF4-FFF2-40B4-BE49-F238E27FC236}">
              <a16:creationId xmlns:a16="http://schemas.microsoft.com/office/drawing/2014/main" id="{08CE6A27-53D3-D050-9AF8-FBDA98B088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47999" y="668931"/>
          <a:ext cx="354825" cy="232672"/>
        </a:xfrm>
        <a:prstGeom prst="rect">
          <a:avLst/>
        </a:prstGeom>
      </xdr:spPr>
    </xdr:pic>
    <xdr:clientData/>
  </xdr:twoCellAnchor>
  <xdr:twoCellAnchor editAs="oneCell">
    <xdr:from>
      <xdr:col>0</xdr:col>
      <xdr:colOff>98886</xdr:colOff>
      <xdr:row>4</xdr:row>
      <xdr:rowOff>40718</xdr:rowOff>
    </xdr:from>
    <xdr:to>
      <xdr:col>1</xdr:col>
      <xdr:colOff>30467</xdr:colOff>
      <xdr:row>17</xdr:row>
      <xdr:rowOff>23268</xdr:rowOff>
    </xdr:to>
    <mc:AlternateContent xmlns:mc="http://schemas.openxmlformats.org/markup-compatibility/2006" xmlns:a14="http://schemas.microsoft.com/office/drawing/2010/main">
      <mc:Choice Requires="a14">
        <xdr:graphicFrame macro="">
          <xdr:nvGraphicFramePr>
            <xdr:cNvPr id="3" name="Date (Month) 1">
              <a:extLst>
                <a:ext uri="{FF2B5EF4-FFF2-40B4-BE49-F238E27FC236}">
                  <a16:creationId xmlns:a16="http://schemas.microsoft.com/office/drawing/2014/main" id="{FE705598-C57D-4123-BFC0-F1D428F82A8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8886" y="773410"/>
              <a:ext cx="539716" cy="236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335017</xdr:colOff>
      <xdr:row>4</xdr:row>
      <xdr:rowOff>124810</xdr:rowOff>
    </xdr:from>
    <xdr:to>
      <xdr:col>3</xdr:col>
      <xdr:colOff>512379</xdr:colOff>
      <xdr:row>8</xdr:row>
      <xdr:rowOff>144518</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C11C5F23-7B52-AC6D-8A33-C4DE03DAB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343191</xdr:colOff>
      <xdr:row>3</xdr:row>
      <xdr:rowOff>168687</xdr:rowOff>
    </xdr:from>
    <xdr:to>
      <xdr:col>5</xdr:col>
      <xdr:colOff>395542</xdr:colOff>
      <xdr:row>7</xdr:row>
      <xdr:rowOff>75618</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D8E870C2-BCA0-4462-AAC1-80FEC3F1B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446943</xdr:colOff>
      <xdr:row>4</xdr:row>
      <xdr:rowOff>109904</xdr:rowOff>
    </xdr:from>
    <xdr:to>
      <xdr:col>7</xdr:col>
      <xdr:colOff>351694</xdr:colOff>
      <xdr:row>6</xdr:row>
      <xdr:rowOff>117232</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68AB6CC1-8204-4953-A4D0-9ABAE4A1C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152639</xdr:colOff>
          <xdr:row>7</xdr:row>
          <xdr:rowOff>13139</xdr:rowOff>
        </xdr:from>
        <xdr:to>
          <xdr:col>7</xdr:col>
          <xdr:colOff>297151</xdr:colOff>
          <xdr:row>10</xdr:row>
          <xdr:rowOff>131380</xdr:rowOff>
        </xdr:to>
        <xdr:pic>
          <xdr:nvPicPr>
            <xdr:cNvPr id="43" name="Picture 42">
              <a:extLst>
                <a:ext uri="{FF2B5EF4-FFF2-40B4-BE49-F238E27FC236}">
                  <a16:creationId xmlns:a16="http://schemas.microsoft.com/office/drawing/2014/main" id="{FF592062-E92C-2458-6223-81AC3AD366FA}"/>
                </a:ext>
              </a:extLst>
            </xdr:cNvPr>
            <xdr:cNvPicPr>
              <a:picLocks noChangeAspect="1" noChangeArrowheads="1"/>
              <a:extLst>
                <a:ext uri="{84589F7E-364E-4C9E-8A38-B11213B215E9}">
                  <a14:cameraTool cellRange="'Pivot Report'!$B$52:$E$54" spid="_x0000_s1055"/>
                </a:ext>
              </a:extLst>
            </xdr:cNvPicPr>
          </xdr:nvPicPr>
          <xdr:blipFill>
            <a:blip xmlns:r="http://schemas.openxmlformats.org/officeDocument/2006/relationships" r:embed="rId14"/>
            <a:srcRect/>
            <a:stretch>
              <a:fillRect/>
            </a:stretch>
          </xdr:blipFill>
          <xdr:spPr bwMode="auto">
            <a:xfrm>
              <a:off x="760774" y="1295351"/>
              <a:ext cx="3793319" cy="6677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194930</xdr:colOff>
      <xdr:row>11</xdr:row>
      <xdr:rowOff>11815</xdr:rowOff>
    </xdr:from>
    <xdr:to>
      <xdr:col>7</xdr:col>
      <xdr:colOff>53163</xdr:colOff>
      <xdr:row>16</xdr:row>
      <xdr:rowOff>135861</xdr:rowOff>
    </xdr:to>
    <xdr:graphicFrame macro="">
      <xdr:nvGraphicFramePr>
        <xdr:cNvPr id="44" name="Chart 43">
          <a:extLst>
            <a:ext uri="{FF2B5EF4-FFF2-40B4-BE49-F238E27FC236}">
              <a16:creationId xmlns:a16="http://schemas.microsoft.com/office/drawing/2014/main" id="{665AD26D-07CF-463E-A445-3B1DE4DE6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531629</xdr:colOff>
      <xdr:row>16</xdr:row>
      <xdr:rowOff>118140</xdr:rowOff>
    </xdr:from>
    <xdr:to>
      <xdr:col>4</xdr:col>
      <xdr:colOff>602512</xdr:colOff>
      <xdr:row>17</xdr:row>
      <xdr:rowOff>94510</xdr:rowOff>
    </xdr:to>
    <xdr:sp macro="" textlink="">
      <xdr:nvSpPr>
        <xdr:cNvPr id="46" name="TextBox 45">
          <a:extLst>
            <a:ext uri="{FF2B5EF4-FFF2-40B4-BE49-F238E27FC236}">
              <a16:creationId xmlns:a16="http://schemas.microsoft.com/office/drawing/2014/main" id="{F05C0740-99AF-4717-8295-CDB34DAF2180}"/>
            </a:ext>
          </a:extLst>
        </xdr:cNvPr>
        <xdr:cNvSpPr txBox="1"/>
      </xdr:nvSpPr>
      <xdr:spPr>
        <a:xfrm>
          <a:off x="1748466" y="3048000"/>
          <a:ext cx="1287720" cy="1594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b="1"/>
            <a:t>No</a:t>
          </a:r>
          <a:r>
            <a:rPr lang="en-IN" sz="800" b="1" baseline="0"/>
            <a:t>. of Patient buy Age group</a:t>
          </a:r>
          <a:endParaRPr lang="en-IN" sz="800" b="1"/>
        </a:p>
      </xdr:txBody>
    </xdr:sp>
    <xdr:clientData/>
  </xdr:twoCellAnchor>
  <xdr:twoCellAnchor>
    <xdr:from>
      <xdr:col>7</xdr:col>
      <xdr:colOff>106326</xdr:colOff>
      <xdr:row>0</xdr:row>
      <xdr:rowOff>59071</xdr:rowOff>
    </xdr:from>
    <xdr:to>
      <xdr:col>9</xdr:col>
      <xdr:colOff>555257</xdr:colOff>
      <xdr:row>6</xdr:row>
      <xdr:rowOff>11814</xdr:rowOff>
    </xdr:to>
    <xdr:graphicFrame macro="">
      <xdr:nvGraphicFramePr>
        <xdr:cNvPr id="47" name="Chart 46">
          <a:extLst>
            <a:ext uri="{FF2B5EF4-FFF2-40B4-BE49-F238E27FC236}">
              <a16:creationId xmlns:a16="http://schemas.microsoft.com/office/drawing/2014/main" id="{00377FFB-3B6A-450E-BEA2-69A0B88B3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53162</xdr:colOff>
      <xdr:row>5</xdr:row>
      <xdr:rowOff>46075</xdr:rowOff>
    </xdr:from>
    <xdr:to>
      <xdr:col>9</xdr:col>
      <xdr:colOff>360325</xdr:colOff>
      <xdr:row>6</xdr:row>
      <xdr:rowOff>5908</xdr:rowOff>
    </xdr:to>
    <xdr:sp macro="" textlink="">
      <xdr:nvSpPr>
        <xdr:cNvPr id="51" name="TextBox 50">
          <a:extLst>
            <a:ext uri="{FF2B5EF4-FFF2-40B4-BE49-F238E27FC236}">
              <a16:creationId xmlns:a16="http://schemas.microsoft.com/office/drawing/2014/main" id="{73AA65FB-226A-5772-E377-F82595D72998}"/>
            </a:ext>
          </a:extLst>
        </xdr:cNvPr>
        <xdr:cNvSpPr txBox="1"/>
      </xdr:nvSpPr>
      <xdr:spPr>
        <a:xfrm>
          <a:off x="4920511" y="961656"/>
          <a:ext cx="915581" cy="142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b="1"/>
            <a:t>Patient</a:t>
          </a:r>
          <a:r>
            <a:rPr lang="en-IN" sz="800" b="1" baseline="0"/>
            <a:t> attend sataus</a:t>
          </a:r>
          <a:endParaRPr lang="en-IN" sz="800" b="1"/>
        </a:p>
      </xdr:txBody>
    </xdr:sp>
    <xdr:clientData/>
  </xdr:twoCellAnchor>
  <xdr:twoCellAnchor>
    <xdr:from>
      <xdr:col>9</xdr:col>
      <xdr:colOff>366233</xdr:colOff>
      <xdr:row>0</xdr:row>
      <xdr:rowOff>17720</xdr:rowOff>
    </xdr:from>
    <xdr:to>
      <xdr:col>12</xdr:col>
      <xdr:colOff>259907</xdr:colOff>
      <xdr:row>6</xdr:row>
      <xdr:rowOff>73269</xdr:rowOff>
    </xdr:to>
    <xdr:graphicFrame macro="">
      <xdr:nvGraphicFramePr>
        <xdr:cNvPr id="52" name="Chart 51">
          <a:extLst>
            <a:ext uri="{FF2B5EF4-FFF2-40B4-BE49-F238E27FC236}">
              <a16:creationId xmlns:a16="http://schemas.microsoft.com/office/drawing/2014/main" id="{0820F500-D88D-46FE-99DE-C63433595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47255</xdr:colOff>
      <xdr:row>5</xdr:row>
      <xdr:rowOff>29535</xdr:rowOff>
    </xdr:from>
    <xdr:to>
      <xdr:col>11</xdr:col>
      <xdr:colOff>354417</xdr:colOff>
      <xdr:row>5</xdr:row>
      <xdr:rowOff>158308</xdr:rowOff>
    </xdr:to>
    <xdr:sp macro="" textlink="">
      <xdr:nvSpPr>
        <xdr:cNvPr id="57" name="TextBox 56">
          <a:extLst>
            <a:ext uri="{FF2B5EF4-FFF2-40B4-BE49-F238E27FC236}">
              <a16:creationId xmlns:a16="http://schemas.microsoft.com/office/drawing/2014/main" id="{2FDA9ECC-E038-5802-AFD1-DC58329055A8}"/>
            </a:ext>
          </a:extLst>
        </xdr:cNvPr>
        <xdr:cNvSpPr txBox="1"/>
      </xdr:nvSpPr>
      <xdr:spPr>
        <a:xfrm>
          <a:off x="6131441" y="945116"/>
          <a:ext cx="915581" cy="128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b="1"/>
            <a:t>Gender</a:t>
          </a:r>
          <a:r>
            <a:rPr lang="en-IN" sz="800" b="1" baseline="0"/>
            <a:t> wise analysis</a:t>
          </a:r>
        </a:p>
        <a:p>
          <a:endParaRPr lang="en-IN" sz="800" b="1"/>
        </a:p>
      </xdr:txBody>
    </xdr:sp>
    <xdr:clientData/>
  </xdr:twoCellAnchor>
  <xdr:twoCellAnchor>
    <xdr:from>
      <xdr:col>7</xdr:col>
      <xdr:colOff>372275</xdr:colOff>
      <xdr:row>6</xdr:row>
      <xdr:rowOff>112232</xdr:rowOff>
    </xdr:from>
    <xdr:to>
      <xdr:col>11</xdr:col>
      <xdr:colOff>466651</xdr:colOff>
      <xdr:row>17</xdr:row>
      <xdr:rowOff>135860</xdr:rowOff>
    </xdr:to>
    <xdr:graphicFrame macro="">
      <xdr:nvGraphicFramePr>
        <xdr:cNvPr id="58" name="Chart 57">
          <a:extLst>
            <a:ext uri="{FF2B5EF4-FFF2-40B4-BE49-F238E27FC236}">
              <a16:creationId xmlns:a16="http://schemas.microsoft.com/office/drawing/2014/main" id="{21FB1A27-CD12-405E-A103-295C4CFBE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194931</xdr:colOff>
      <xdr:row>16</xdr:row>
      <xdr:rowOff>88605</xdr:rowOff>
    </xdr:from>
    <xdr:to>
      <xdr:col>11</xdr:col>
      <xdr:colOff>200837</xdr:colOff>
      <xdr:row>17</xdr:row>
      <xdr:rowOff>70882</xdr:rowOff>
    </xdr:to>
    <xdr:sp macro="" textlink="">
      <xdr:nvSpPr>
        <xdr:cNvPr id="59" name="TextBox 58">
          <a:extLst>
            <a:ext uri="{FF2B5EF4-FFF2-40B4-BE49-F238E27FC236}">
              <a16:creationId xmlns:a16="http://schemas.microsoft.com/office/drawing/2014/main" id="{88AE18E4-DB48-6A22-DE10-C6932B699B30}"/>
            </a:ext>
          </a:extLst>
        </xdr:cNvPr>
        <xdr:cNvSpPr txBox="1"/>
      </xdr:nvSpPr>
      <xdr:spPr>
        <a:xfrm>
          <a:off x="5062280" y="3018465"/>
          <a:ext cx="1831162" cy="165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800" b="1"/>
            <a:t>No</a:t>
          </a:r>
          <a:r>
            <a:rPr lang="en-IN" sz="800" b="1" baseline="0"/>
            <a:t>. of Patient by Department Referal</a:t>
          </a:r>
          <a:endParaRPr lang="en-IN" sz="800" b="1"/>
        </a:p>
      </xdr:txBody>
    </xdr:sp>
    <xdr:clientData/>
  </xdr:twoCellAnchor>
  <xdr:twoCellAnchor editAs="oneCell">
    <xdr:from>
      <xdr:col>6</xdr:col>
      <xdr:colOff>53161</xdr:colOff>
      <xdr:row>0</xdr:row>
      <xdr:rowOff>76791</xdr:rowOff>
    </xdr:from>
    <xdr:to>
      <xdr:col>7</xdr:col>
      <xdr:colOff>373672</xdr:colOff>
      <xdr:row>3</xdr:row>
      <xdr:rowOff>68001</xdr:rowOff>
    </xdr:to>
    <mc:AlternateContent xmlns:mc="http://schemas.openxmlformats.org/markup-compatibility/2006" xmlns:a14="http://schemas.microsoft.com/office/drawing/2010/main">
      <mc:Choice Requires="a14">
        <xdr:graphicFrame macro="">
          <xdr:nvGraphicFramePr>
            <xdr:cNvPr id="60" name="Date (Year) 1">
              <a:extLst>
                <a:ext uri="{FF2B5EF4-FFF2-40B4-BE49-F238E27FC236}">
                  <a16:creationId xmlns:a16="http://schemas.microsoft.com/office/drawing/2014/main" id="{66EACB42-1A59-4931-B3AE-13FE87D3F22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701969" y="76791"/>
              <a:ext cx="928645" cy="540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5</xdr:row>
      <xdr:rowOff>83820</xdr:rowOff>
    </xdr:from>
    <xdr:to>
      <xdr:col>12</xdr:col>
      <xdr:colOff>541020</xdr:colOff>
      <xdr:row>21</xdr:row>
      <xdr:rowOff>83820</xdr:rowOff>
    </xdr:to>
    <xdr:graphicFrame macro="">
      <xdr:nvGraphicFramePr>
        <xdr:cNvPr id="4" name="Chart 3">
          <a:extLst>
            <a:ext uri="{FF2B5EF4-FFF2-40B4-BE49-F238E27FC236}">
              <a16:creationId xmlns:a16="http://schemas.microsoft.com/office/drawing/2014/main" id="{3349BAA6-67DB-4B15-B9C6-9581C47A6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190500</xdr:colOff>
      <xdr:row>5</xdr:row>
      <xdr:rowOff>121920</xdr:rowOff>
    </xdr:from>
    <xdr:to>
      <xdr:col>3</xdr:col>
      <xdr:colOff>160020</xdr:colOff>
      <xdr:row>7</xdr:row>
      <xdr:rowOff>106680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4B2F45F7-F7D0-9149-ADD4-846266F592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9700" y="1036320"/>
          <a:ext cx="579120" cy="35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220980</xdr:colOff>
      <xdr:row>3</xdr:row>
      <xdr:rowOff>45720</xdr:rowOff>
    </xdr:from>
    <xdr:to>
      <xdr:col>14</xdr:col>
      <xdr:colOff>297180</xdr:colOff>
      <xdr:row>25</xdr:row>
      <xdr:rowOff>167640</xdr:rowOff>
    </xdr:to>
    <xdr:graphicFrame macro="">
      <xdr:nvGraphicFramePr>
        <xdr:cNvPr id="2" name="Chart 1">
          <a:extLst>
            <a:ext uri="{FF2B5EF4-FFF2-40B4-BE49-F238E27FC236}">
              <a16:creationId xmlns:a16="http://schemas.microsoft.com/office/drawing/2014/main" id="{5804E4FB-02A7-4614-A997-0E581D891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294640</xdr:colOff>
      <xdr:row>3</xdr:row>
      <xdr:rowOff>162560</xdr:rowOff>
    </xdr:from>
    <xdr:to>
      <xdr:col>2</xdr:col>
      <xdr:colOff>355600</xdr:colOff>
      <xdr:row>6</xdr:row>
      <xdr:rowOff>139700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B034C96C-8B37-4599-BC56-DB64152234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2160" y="711200"/>
          <a:ext cx="670560" cy="5257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172720</xdr:colOff>
      <xdr:row>1</xdr:row>
      <xdr:rowOff>152400</xdr:rowOff>
    </xdr:from>
    <xdr:to>
      <xdr:col>14</xdr:col>
      <xdr:colOff>690880</xdr:colOff>
      <xdr:row>26</xdr:row>
      <xdr:rowOff>20320</xdr:rowOff>
    </xdr:to>
    <xdr:graphicFrame macro="">
      <xdr:nvGraphicFramePr>
        <xdr:cNvPr id="4" name="Chart 3">
          <a:extLst>
            <a:ext uri="{FF2B5EF4-FFF2-40B4-BE49-F238E27FC236}">
              <a16:creationId xmlns:a16="http://schemas.microsoft.com/office/drawing/2014/main" id="{46858979-4994-4E31-921A-459AA3AD6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0.00602</cdr:x>
      <cdr:y>0.01144</cdr:y>
    </cdr:from>
    <cdr:to>
      <cdr:x>0.08544</cdr:x>
      <cdr:y>0.12986</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034C96C-8B37-4599-BC56-DB641522343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70560" cy="5257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56134258" createdVersion="5" refreshedVersion="8" minRefreshableVersion="3" recordCount="0" supportSubquery="1" supportAdvancedDrill="1" xr:uid="{D4B89CEA-5195-4D28-94DB-1233838A2C46}">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57291667" createdVersion="5" refreshedVersion="8" minRefreshableVersion="3" recordCount="0" supportSubquery="1" supportAdvancedDrill="1" xr:uid="{9EC53B2E-F7B4-455E-969B-BDF86A961884}">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62152778" createdVersion="5" refreshedVersion="8" minRefreshableVersion="3" recordCount="0" supportSubquery="1" supportAdvancedDrill="1" xr:uid="{8D75627F-D94A-440A-BF82-C8246779947E}">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64814818" createdVersion="5" refreshedVersion="8" minRefreshableVersion="3" recordCount="0" supportSubquery="1" supportAdvancedDrill="1" xr:uid="{0F6D29BB-5804-4DE8-89E5-C1E49EB53328}">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67708335" createdVersion="5" refreshedVersion="8" minRefreshableVersion="3" recordCount="0" supportSubquery="1" supportAdvancedDrill="1" xr:uid="{2521B949-47A2-471A-A184-EA2DC3A6978C}">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70601853" createdVersion="5" refreshedVersion="8" minRefreshableVersion="3" recordCount="0" supportSubquery="1" supportAdvancedDrill="1" xr:uid="{E851D406-40F1-4B5E-AFE3-48AF28A54B11}">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7349537" createdVersion="5" refreshedVersion="8" minRefreshableVersion="3" recordCount="0" supportSubquery="1" supportAdvancedDrill="1" xr:uid="{B51BF266-34B6-44BF-B9BF-8A03F875294F}">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76388887" createdVersion="5" refreshedVersion="8" minRefreshableVersion="3" recordCount="0" supportSubquery="1" supportAdvancedDrill="1" xr:uid="{F1EC720A-E5B9-43D1-A0A1-2BB43A947AB8}">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79166666" createdVersion="5" refreshedVersion="8" minRefreshableVersion="3" recordCount="0" supportSubquery="1" supportAdvancedDrill="1" xr:uid="{13B5D6FE-DC5D-4C7E-88C5-C3621157825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as].[Patient attend Statuas]" caption="Patient attend Statuas" numFmtId="0" hierarchy="17" level="1">
      <sharedItems count="2">
        <s v="Delay"/>
        <s v="OnTime"/>
      </sharedItems>
    </cacheField>
    <cacheField name="[Measures].[Count of Patient attend Statuas]" caption="Count of Patient attend Statua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81828706" createdVersion="5" refreshedVersion="8" minRefreshableVersion="3" recordCount="0" supportSubquery="1" supportAdvancedDrill="1" xr:uid="{51992A24-1EBF-4FC4-8B62-8A2384AEC39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83333331" createdVersion="5" refreshedVersion="8" minRefreshableVersion="3" recordCount="0" supportSubquery="1" supportAdvancedDrill="1" xr:uid="{821D500F-72E1-4E68-A4FE-B04FD7BBA451}">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216.638988773149" createdVersion="5" refreshedVersion="8" minRefreshableVersion="3" recordCount="0" supportSubquery="1" supportAdvancedDrill="1" xr:uid="{20643CF2-3EED-41A2-ACE8-EE8333FF1A24}">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Gowda" refreshedDate="46114.617322453705" createdVersion="3" refreshedVersion="8" minRefreshableVersion="3" recordCount="0" supportSubquery="1" supportAdvancedDrill="1" xr:uid="{80366251-3CA8-4792-9F97-434CCBCE8FE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as]" caption="Patient attend Statuas" attribute="1" defaultMemberUniqueName="[Hospital Emergency Room Data].[Patient attend Statuas].[All]" allUniqueName="[Hospital Emergency Room Data].[Patient attend Statua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as]" caption="Count of Patient attend Statua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470294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2690C-E1B1-40FD-93A9-A3635A94E166}" name="PivotTable12" cacheId="45"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28">
  <location ref="A83:B9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2">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B79E2D-C14C-4D3B-A6CD-75AC90BE22BF}" name="PivotTable7" cacheId="33"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2">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5">
      <pivotArea outline="0" collapsedLevelsAreSubtotals="1" fieldPosition="0"/>
    </format>
    <format dxfId="14">
      <pivotArea outline="0" fieldPosition="0">
        <references count="1">
          <reference field="4294967294" count="1">
            <x v="0"/>
          </reference>
        </references>
      </pivotArea>
    </format>
    <format dxfId="1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49759-27FC-4775-8B09-C505C32CFACB}" name="PivotTable2" cacheId="21" applyNumberFormats="0" applyBorderFormats="0" applyFontFormats="0" applyPatternFormats="0" applyAlignmentFormats="0" applyWidthHeightFormats="1" dataCaption="Values" tag="20bffcde-5e21-436b-8a6d-14dd8e1cb3c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53C4E-4A3F-4C1C-87D9-993BD0D8E8EB}" name="PivotTable6" cacheId="30" applyNumberFormats="0" applyBorderFormats="0" applyFontFormats="0" applyPatternFormats="0" applyAlignmentFormats="0" applyWidthHeightFormats="1" dataCaption="Values" tag="8837afe2-ab58-4900-94df-640206c6d57c" updatedVersion="8" minRefreshableVersion="3" subtotalHiddenItems="1" itemPrintTitles="1" createdVersion="5" indent="0" outline="1" outlineData="1" multipleFieldFilters="0" chartFormat="31">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7">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C23ABC-3FF0-448E-99D2-4072F4941892}" name="PivotTable4" cacheId="15" applyNumberFormats="0" applyBorderFormats="0" applyFontFormats="0" applyPatternFormats="0" applyAlignmentFormats="0" applyWidthHeightFormats="1" dataCaption="Values" tag="8837afe2-ab58-4900-94df-640206c6d57c" updatedVersion="8" minRefreshableVersion="3" subtotalHiddenItems="1" itemPrintTitles="1" createdVersion="5" indent="0" outline="1" outlineData="1" multipleFieldFilters="0" chartFormat="1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0"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2EC6A-9897-46E3-A82E-3F3C1514E9D2}" name="PivotTable11" cacheId="42"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24">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8">
      <pivotArea outline="0" collapsedLevelsAreSubtotals="1" fieldPosition="0"/>
    </format>
  </formats>
  <chartFormats count="6">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 count="1" selected="0">
            <x v="0"/>
          </reference>
        </references>
      </pivotArea>
    </chartFormat>
    <chartFormat chart="20" format="3">
      <pivotArea type="data" outline="0" fieldPosition="0">
        <references count="2">
          <reference field="4294967294" count="1" selected="0">
            <x v="0"/>
          </reference>
          <reference field="1"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9FEC73-FBFA-4948-AB12-AF200541116E}" name="PivotTable13" cacheId="48"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28">
  <location ref="A96:A9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9">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4550D6-165B-41AC-BE1A-667BD1F4FAC5}" name="PivotTable3" cacheId="24"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0D4FBE-C382-4948-9647-CDF14D1404D9}" name="PivotTable10" cacheId="39"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16">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as" fld="2" subtotal="count" baseField="0" baseItem="0"/>
  </dataFields>
  <formats count="1">
    <format dxfId="21">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F35227-AA2E-4B11-969F-BB114472FE30}" name="PivotTable5" cacheId="27" applyNumberFormats="0" applyBorderFormats="0" applyFontFormats="0" applyPatternFormats="0" applyAlignmentFormats="0" applyWidthHeightFormats="1" dataCaption="Values" tag="8837afe2-ab58-4900-94df-640206c6d57c" updatedVersion="8" minRefreshableVersion="3" subtotalHiddenItems="1" itemPrintTitles="1" createdVersion="5" indent="0" outline="1" outlineData="1" multipleFieldFilters="0" chartFormat="24">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2">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E0989E-2BD1-4B7D-A6C4-DD5F071DD3B2}" name="PivotTable1" cacheId="18" applyNumberFormats="0" applyBorderFormats="0" applyFontFormats="0" applyPatternFormats="0" applyAlignmentFormats="0" applyWidthHeightFormats="1" dataCaption="Values" tag="8837afe2-ab58-4900-94df-640206c6d57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BD04CE-0CB0-4F3E-84B5-1703F581932A}" name="PivotTable8" cacheId="36" applyNumberFormats="0" applyBorderFormats="0" applyFontFormats="0" applyPatternFormats="0" applyAlignmentFormats="0" applyWidthHeightFormats="1" dataCaption="Values" tag="7ac7c31f-95e2-4e8a-bf2d-8bbaf3b91aba" updatedVersion="8" minRefreshableVersion="3" subtotalHiddenItems="1" itemPrintTitles="1" createdVersion="5" indent="0" outline="1" outlineData="1" multipleFieldFilters="0" chartFormat="7">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D668208-8E52-4410-BB58-74EACD0CBCFB}"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s>
  <data>
    <olap pivotCacheId="94702940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09866EF-21F7-4C32-A07D-A24536680EF8}"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94702940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C7723491-CD87-4B80-9B5C-D4C449DC0D87}" cache="Slicer_Date__Month" caption="Date (Month)" showCaption="0" level="1" style="New Style" rowHeight="144000"/>
  <slicer name="Date (Year) 1" xr10:uid="{F175D231-3E28-4E4D-9EAA-BC5B11C4648A}" cache="Slicer_Date__Year" caption="Date (Year)" showCaption="0" level="1" style="New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0BE2-C5B4-4BC6-8032-8ECD4C6E5DF0}">
  <dimension ref="A3:M98"/>
  <sheetViews>
    <sheetView workbookViewId="0">
      <selection activeCell="L3" sqref="L3"/>
    </sheetView>
  </sheetViews>
  <sheetFormatPr defaultRowHeight="14.4" x14ac:dyDescent="0.3"/>
  <cols>
    <col min="1" max="1" width="31.5546875" customWidth="1"/>
    <col min="2" max="2" width="27.33203125" customWidth="1"/>
    <col min="3" max="3" width="28.88671875" customWidth="1"/>
    <col min="4" max="4" width="8.21875" customWidth="1"/>
    <col min="5" max="5" width="24" customWidth="1"/>
    <col min="8" max="8" width="17.33203125" customWidth="1"/>
    <col min="9" max="9" width="23.77734375" customWidth="1"/>
    <col min="12" max="12" width="12.77734375" customWidth="1"/>
    <col min="13" max="13" width="31.6640625" customWidth="1"/>
  </cols>
  <sheetData>
    <row r="3" spans="1:13" ht="15.6" x14ac:dyDescent="0.3">
      <c r="A3" t="s">
        <v>1</v>
      </c>
      <c r="D3" s="16" t="s">
        <v>7</v>
      </c>
      <c r="H3" s="16" t="s">
        <v>46</v>
      </c>
      <c r="L3" s="16" t="s">
        <v>47</v>
      </c>
    </row>
    <row r="4" spans="1:13" x14ac:dyDescent="0.3">
      <c r="A4" t="s">
        <v>0</v>
      </c>
      <c r="D4" s="3" t="s">
        <v>4</v>
      </c>
      <c r="E4" t="s">
        <v>0</v>
      </c>
      <c r="H4" s="3" t="s">
        <v>4</v>
      </c>
      <c r="I4" t="s">
        <v>2</v>
      </c>
      <c r="L4" s="3" t="s">
        <v>4</v>
      </c>
      <c r="M4" t="s">
        <v>3</v>
      </c>
    </row>
    <row r="5" spans="1:13" x14ac:dyDescent="0.3">
      <c r="A5" s="21">
        <v>513</v>
      </c>
      <c r="D5" s="4" t="s">
        <v>49</v>
      </c>
      <c r="E5" s="21">
        <v>19</v>
      </c>
      <c r="H5" s="4" t="s">
        <v>49</v>
      </c>
      <c r="I5" s="1">
        <v>37.789473684210527</v>
      </c>
      <c r="L5" s="4" t="s">
        <v>49</v>
      </c>
      <c r="M5" s="1">
        <v>6.666666666666667</v>
      </c>
    </row>
    <row r="6" spans="1:13" x14ac:dyDescent="0.3">
      <c r="D6" s="4" t="s">
        <v>50</v>
      </c>
      <c r="E6" s="21">
        <v>14</v>
      </c>
      <c r="H6" s="4" t="s">
        <v>50</v>
      </c>
      <c r="I6" s="1">
        <v>38.214285714285715</v>
      </c>
      <c r="L6" s="4" t="s">
        <v>50</v>
      </c>
      <c r="M6" s="1">
        <v>3.5</v>
      </c>
    </row>
    <row r="7" spans="1:13" x14ac:dyDescent="0.3">
      <c r="D7" s="4" t="s">
        <v>51</v>
      </c>
      <c r="E7" s="21">
        <v>13</v>
      </c>
      <c r="H7" s="4" t="s">
        <v>51</v>
      </c>
      <c r="I7" s="1">
        <v>40.92307692307692</v>
      </c>
      <c r="L7" s="4" t="s">
        <v>51</v>
      </c>
      <c r="M7" s="1">
        <v>4.5</v>
      </c>
    </row>
    <row r="8" spans="1:13" x14ac:dyDescent="0.3">
      <c r="A8" t="s">
        <v>2</v>
      </c>
      <c r="D8" s="4" t="s">
        <v>52</v>
      </c>
      <c r="E8" s="21">
        <v>22</v>
      </c>
      <c r="H8" s="4" t="s">
        <v>52</v>
      </c>
      <c r="I8" s="1">
        <v>34.5</v>
      </c>
      <c r="L8" s="4" t="s">
        <v>52</v>
      </c>
      <c r="M8" s="1">
        <v>4.8</v>
      </c>
    </row>
    <row r="9" spans="1:13" x14ac:dyDescent="0.3">
      <c r="A9" s="1">
        <v>36.323586744639378</v>
      </c>
      <c r="D9" s="4" t="s">
        <v>53</v>
      </c>
      <c r="E9" s="21">
        <v>19</v>
      </c>
      <c r="H9" s="4" t="s">
        <v>53</v>
      </c>
      <c r="I9" s="1">
        <v>30.684210526315791</v>
      </c>
      <c r="L9" s="4" t="s">
        <v>53</v>
      </c>
      <c r="M9" s="1">
        <v>7.75</v>
      </c>
    </row>
    <row r="10" spans="1:13" x14ac:dyDescent="0.3">
      <c r="D10" s="4" t="s">
        <v>54</v>
      </c>
      <c r="E10" s="21">
        <v>15</v>
      </c>
      <c r="H10" s="4" t="s">
        <v>54</v>
      </c>
      <c r="I10" s="1">
        <v>37.666666666666664</v>
      </c>
      <c r="L10" s="4" t="s">
        <v>54</v>
      </c>
      <c r="M10" s="1">
        <v>6.2</v>
      </c>
    </row>
    <row r="11" spans="1:13" x14ac:dyDescent="0.3">
      <c r="A11" t="s">
        <v>3</v>
      </c>
      <c r="D11" s="4" t="s">
        <v>55</v>
      </c>
      <c r="E11" s="21">
        <v>12</v>
      </c>
      <c r="H11" s="4" t="s">
        <v>55</v>
      </c>
      <c r="I11" s="1">
        <v>36.083333333333336</v>
      </c>
      <c r="L11" s="4" t="s">
        <v>55</v>
      </c>
      <c r="M11" s="1">
        <v>3.75</v>
      </c>
    </row>
    <row r="12" spans="1:13" x14ac:dyDescent="0.3">
      <c r="A12" s="1">
        <v>4.9591836734693882</v>
      </c>
      <c r="D12" s="4" t="s">
        <v>56</v>
      </c>
      <c r="E12" s="21">
        <v>21</v>
      </c>
      <c r="H12" s="4" t="s">
        <v>56</v>
      </c>
      <c r="I12" s="1">
        <v>43.523809523809526</v>
      </c>
      <c r="L12" s="4" t="s">
        <v>56</v>
      </c>
      <c r="M12" s="1">
        <v>6.5</v>
      </c>
    </row>
    <row r="13" spans="1:13" x14ac:dyDescent="0.3">
      <c r="D13" s="4" t="s">
        <v>57</v>
      </c>
      <c r="E13" s="21">
        <v>12</v>
      </c>
      <c r="H13" s="4" t="s">
        <v>57</v>
      </c>
      <c r="I13" s="1">
        <v>29.5</v>
      </c>
      <c r="L13" s="4" t="s">
        <v>57</v>
      </c>
      <c r="M13" s="1">
        <v>3</v>
      </c>
    </row>
    <row r="14" spans="1:13" x14ac:dyDescent="0.3">
      <c r="D14" s="4" t="s">
        <v>58</v>
      </c>
      <c r="E14" s="21">
        <v>13</v>
      </c>
      <c r="H14" s="4" t="s">
        <v>58</v>
      </c>
      <c r="I14" s="1">
        <v>38.07692307692308</v>
      </c>
      <c r="L14" s="4" t="s">
        <v>58</v>
      </c>
      <c r="M14" s="1">
        <v>4.5</v>
      </c>
    </row>
    <row r="15" spans="1:13" x14ac:dyDescent="0.3">
      <c r="D15" s="4" t="s">
        <v>59</v>
      </c>
      <c r="E15" s="21">
        <v>13</v>
      </c>
      <c r="H15" s="4" t="s">
        <v>59</v>
      </c>
      <c r="I15" s="1">
        <v>35.846153846153847</v>
      </c>
      <c r="L15" s="4" t="s">
        <v>59</v>
      </c>
      <c r="M15" s="1">
        <v>6</v>
      </c>
    </row>
    <row r="16" spans="1:13" x14ac:dyDescent="0.3">
      <c r="D16" s="4" t="s">
        <v>60</v>
      </c>
      <c r="E16" s="21">
        <v>16</v>
      </c>
      <c r="H16" s="4" t="s">
        <v>60</v>
      </c>
      <c r="I16" s="1">
        <v>32.625</v>
      </c>
      <c r="L16" s="4" t="s">
        <v>60</v>
      </c>
      <c r="M16" s="1">
        <v>5.2</v>
      </c>
    </row>
    <row r="17" spans="4:13" x14ac:dyDescent="0.3">
      <c r="D17" s="4" t="s">
        <v>61</v>
      </c>
      <c r="E17" s="21">
        <v>20</v>
      </c>
      <c r="H17" s="4" t="s">
        <v>61</v>
      </c>
      <c r="I17" s="1">
        <v>39.200000000000003</v>
      </c>
      <c r="L17" s="4" t="s">
        <v>61</v>
      </c>
      <c r="M17" s="1">
        <v>4.4000000000000004</v>
      </c>
    </row>
    <row r="18" spans="4:13" x14ac:dyDescent="0.3">
      <c r="D18" s="4" t="s">
        <v>62</v>
      </c>
      <c r="E18" s="21">
        <v>25</v>
      </c>
      <c r="H18" s="4" t="s">
        <v>62</v>
      </c>
      <c r="I18" s="1">
        <v>35.28</v>
      </c>
      <c r="L18" s="4" t="s">
        <v>62</v>
      </c>
      <c r="M18" s="1">
        <v>3.4545454545454546</v>
      </c>
    </row>
    <row r="19" spans="4:13" x14ac:dyDescent="0.3">
      <c r="D19" s="4" t="s">
        <v>63</v>
      </c>
      <c r="E19" s="21">
        <v>20</v>
      </c>
      <c r="H19" s="4" t="s">
        <v>63</v>
      </c>
      <c r="I19" s="1">
        <v>32.549999999999997</v>
      </c>
      <c r="L19" s="4" t="s">
        <v>63</v>
      </c>
      <c r="M19" s="1">
        <v>4.4000000000000004</v>
      </c>
    </row>
    <row r="20" spans="4:13" x14ac:dyDescent="0.3">
      <c r="D20" s="4" t="s">
        <v>64</v>
      </c>
      <c r="E20" s="21">
        <v>14</v>
      </c>
      <c r="H20" s="4" t="s">
        <v>64</v>
      </c>
      <c r="I20" s="1">
        <v>35.642857142857146</v>
      </c>
      <c r="L20" s="4" t="s">
        <v>64</v>
      </c>
      <c r="M20" s="1">
        <v>5.833333333333333</v>
      </c>
    </row>
    <row r="21" spans="4:13" x14ac:dyDescent="0.3">
      <c r="D21" s="4" t="s">
        <v>65</v>
      </c>
      <c r="E21" s="21">
        <v>17</v>
      </c>
      <c r="H21" s="4" t="s">
        <v>65</v>
      </c>
      <c r="I21" s="1">
        <v>38.764705882352942</v>
      </c>
      <c r="L21" s="4" t="s">
        <v>65</v>
      </c>
      <c r="M21" s="1">
        <v>4.4444444444444446</v>
      </c>
    </row>
    <row r="22" spans="4:13" x14ac:dyDescent="0.3">
      <c r="D22" s="4" t="s">
        <v>66</v>
      </c>
      <c r="E22" s="21">
        <v>20</v>
      </c>
      <c r="H22" s="4" t="s">
        <v>66</v>
      </c>
      <c r="I22" s="1">
        <v>39.9</v>
      </c>
      <c r="L22" s="4" t="s">
        <v>66</v>
      </c>
      <c r="M22" s="1">
        <v>5.333333333333333</v>
      </c>
    </row>
    <row r="23" spans="4:13" x14ac:dyDescent="0.3">
      <c r="D23" s="4" t="s">
        <v>67</v>
      </c>
      <c r="E23" s="21">
        <v>10</v>
      </c>
      <c r="H23" s="4" t="s">
        <v>67</v>
      </c>
      <c r="I23" s="1">
        <v>41.6</v>
      </c>
      <c r="L23" s="4" t="s">
        <v>67</v>
      </c>
      <c r="M23" s="1">
        <v>5.333333333333333</v>
      </c>
    </row>
    <row r="24" spans="4:13" x14ac:dyDescent="0.3">
      <c r="D24" s="4" t="s">
        <v>68</v>
      </c>
      <c r="E24" s="21">
        <v>17</v>
      </c>
      <c r="H24" s="4" t="s">
        <v>68</v>
      </c>
      <c r="I24" s="1">
        <v>39.470588235294116</v>
      </c>
      <c r="L24" s="4" t="s">
        <v>68</v>
      </c>
      <c r="M24" s="1">
        <v>5.5714285714285712</v>
      </c>
    </row>
    <row r="25" spans="4:13" x14ac:dyDescent="0.3">
      <c r="D25" s="4" t="s">
        <v>69</v>
      </c>
      <c r="E25" s="21">
        <v>15</v>
      </c>
      <c r="H25" s="4" t="s">
        <v>69</v>
      </c>
      <c r="I25" s="1">
        <v>27.733333333333334</v>
      </c>
      <c r="L25" s="4" t="s">
        <v>69</v>
      </c>
      <c r="M25" s="1">
        <v>5</v>
      </c>
    </row>
    <row r="26" spans="4:13" x14ac:dyDescent="0.3">
      <c r="D26" s="4" t="s">
        <v>70</v>
      </c>
      <c r="E26" s="21">
        <v>16</v>
      </c>
      <c r="H26" s="4" t="s">
        <v>70</v>
      </c>
      <c r="I26" s="1">
        <v>36.875</v>
      </c>
      <c r="L26" s="4" t="s">
        <v>70</v>
      </c>
      <c r="M26" s="1">
        <v>6.4</v>
      </c>
    </row>
    <row r="27" spans="4:13" x14ac:dyDescent="0.3">
      <c r="D27" s="4" t="s">
        <v>71</v>
      </c>
      <c r="E27" s="21">
        <v>18</v>
      </c>
      <c r="H27" s="4" t="s">
        <v>71</v>
      </c>
      <c r="I27" s="1">
        <v>40.333333333333336</v>
      </c>
      <c r="L27" s="4" t="s">
        <v>71</v>
      </c>
      <c r="M27" s="1">
        <v>5.333333333333333</v>
      </c>
    </row>
    <row r="28" spans="4:13" x14ac:dyDescent="0.3">
      <c r="D28" s="4" t="s">
        <v>72</v>
      </c>
      <c r="E28" s="21">
        <v>16</v>
      </c>
      <c r="H28" s="4" t="s">
        <v>72</v>
      </c>
      <c r="I28" s="1">
        <v>36.5</v>
      </c>
      <c r="L28" s="4" t="s">
        <v>72</v>
      </c>
      <c r="M28" s="1">
        <v>3.75</v>
      </c>
    </row>
    <row r="29" spans="4:13" x14ac:dyDescent="0.3">
      <c r="D29" s="4" t="s">
        <v>73</v>
      </c>
      <c r="E29" s="21">
        <v>15</v>
      </c>
      <c r="H29" s="4" t="s">
        <v>73</v>
      </c>
      <c r="I29" s="1">
        <v>32.866666666666667</v>
      </c>
      <c r="L29" s="4" t="s">
        <v>73</v>
      </c>
      <c r="M29" s="1">
        <v>6.333333333333333</v>
      </c>
    </row>
    <row r="30" spans="4:13" x14ac:dyDescent="0.3">
      <c r="D30" s="4" t="s">
        <v>74</v>
      </c>
      <c r="E30" s="21">
        <v>14</v>
      </c>
      <c r="H30" s="4" t="s">
        <v>74</v>
      </c>
      <c r="I30" s="1">
        <v>36.642857142857146</v>
      </c>
      <c r="L30" s="4" t="s">
        <v>74</v>
      </c>
      <c r="M30" s="1">
        <v>10</v>
      </c>
    </row>
    <row r="31" spans="4:13" x14ac:dyDescent="0.3">
      <c r="D31" s="4" t="s">
        <v>75</v>
      </c>
      <c r="E31" s="21">
        <v>16</v>
      </c>
      <c r="H31" s="4" t="s">
        <v>75</v>
      </c>
      <c r="I31" s="1">
        <v>36.5625</v>
      </c>
      <c r="L31" s="4" t="s">
        <v>75</v>
      </c>
      <c r="M31" s="1">
        <v>5</v>
      </c>
    </row>
    <row r="32" spans="4:13" x14ac:dyDescent="0.3">
      <c r="D32" s="4" t="s">
        <v>76</v>
      </c>
      <c r="E32" s="21">
        <v>20</v>
      </c>
      <c r="H32" s="4" t="s">
        <v>76</v>
      </c>
      <c r="I32" s="1">
        <v>32.15</v>
      </c>
      <c r="L32" s="4" t="s">
        <v>76</v>
      </c>
      <c r="M32" s="1">
        <v>5.333333333333333</v>
      </c>
    </row>
    <row r="33" spans="1:13" x14ac:dyDescent="0.3">
      <c r="D33" s="4" t="s">
        <v>77</v>
      </c>
      <c r="E33" s="21">
        <v>19</v>
      </c>
      <c r="H33" s="4" t="s">
        <v>77</v>
      </c>
      <c r="I33" s="1">
        <v>38.368421052631582</v>
      </c>
      <c r="L33" s="4" t="s">
        <v>77</v>
      </c>
      <c r="M33" s="1">
        <v>4.8</v>
      </c>
    </row>
    <row r="34" spans="1:13" x14ac:dyDescent="0.3">
      <c r="D34" s="4" t="s">
        <v>78</v>
      </c>
      <c r="E34" s="21">
        <v>14</v>
      </c>
      <c r="H34" s="4" t="s">
        <v>78</v>
      </c>
      <c r="I34" s="1">
        <v>33.071428571428569</v>
      </c>
      <c r="L34" s="4" t="s">
        <v>78</v>
      </c>
      <c r="M34" s="1">
        <v>5</v>
      </c>
    </row>
    <row r="35" spans="1:13" x14ac:dyDescent="0.3">
      <c r="D35" s="4" t="s">
        <v>79</v>
      </c>
      <c r="E35" s="21">
        <v>18</v>
      </c>
      <c r="H35" s="4" t="s">
        <v>79</v>
      </c>
      <c r="I35" s="1">
        <v>36.444444444444443</v>
      </c>
      <c r="L35" s="4" t="s">
        <v>79</v>
      </c>
      <c r="M35" s="1">
        <v>1.4</v>
      </c>
    </row>
    <row r="36" spans="1:13" x14ac:dyDescent="0.3">
      <c r="D36" s="4" t="s">
        <v>5</v>
      </c>
      <c r="E36" s="21">
        <v>513</v>
      </c>
      <c r="H36" s="4" t="s">
        <v>5</v>
      </c>
      <c r="I36" s="1">
        <v>36.323586744639378</v>
      </c>
      <c r="L36" s="4" t="s">
        <v>5</v>
      </c>
      <c r="M36" s="1">
        <v>4.9591836734693882</v>
      </c>
    </row>
    <row r="41" spans="1:13" x14ac:dyDescent="0.3">
      <c r="A41" s="6"/>
    </row>
    <row r="43" spans="1:13" ht="15.6" x14ac:dyDescent="0.3">
      <c r="A43" s="16" t="s">
        <v>45</v>
      </c>
    </row>
    <row r="44" spans="1:13" x14ac:dyDescent="0.3">
      <c r="A44" s="3" t="s">
        <v>4</v>
      </c>
      <c r="B44" t="s">
        <v>10</v>
      </c>
      <c r="C44" t="s">
        <v>13</v>
      </c>
    </row>
    <row r="45" spans="1:13" x14ac:dyDescent="0.3">
      <c r="A45" s="4" t="s">
        <v>11</v>
      </c>
      <c r="B45" s="21">
        <v>269</v>
      </c>
      <c r="C45" s="8">
        <v>0.52436647173489281</v>
      </c>
    </row>
    <row r="46" spans="1:13" x14ac:dyDescent="0.3">
      <c r="A46" s="4" t="s">
        <v>12</v>
      </c>
      <c r="B46" s="21">
        <v>244</v>
      </c>
      <c r="C46" s="8">
        <v>0.47563352826510719</v>
      </c>
    </row>
    <row r="47" spans="1:13" x14ac:dyDescent="0.3">
      <c r="A47" s="4" t="s">
        <v>5</v>
      </c>
      <c r="B47" s="21">
        <v>513</v>
      </c>
      <c r="C47" s="8">
        <v>1</v>
      </c>
    </row>
    <row r="52" spans="1:6" x14ac:dyDescent="0.3">
      <c r="B52" s="11" t="s">
        <v>14</v>
      </c>
      <c r="C52" s="11" t="s">
        <v>16</v>
      </c>
      <c r="D52" s="11" t="s">
        <v>15</v>
      </c>
      <c r="E52" s="12"/>
      <c r="F52" s="10"/>
    </row>
    <row r="53" spans="1:6" x14ac:dyDescent="0.3">
      <c r="B53" s="13" t="str">
        <f>A46</f>
        <v>Notadmitted</v>
      </c>
      <c r="C53" s="13">
        <f>B46</f>
        <v>244</v>
      </c>
      <c r="D53" s="14">
        <f>C46</f>
        <v>0.47563352826510719</v>
      </c>
      <c r="E53" s="15"/>
      <c r="F53" s="9"/>
    </row>
    <row r="54" spans="1:6" x14ac:dyDescent="0.3">
      <c r="B54" s="13" t="str">
        <f>A45</f>
        <v>Admitted</v>
      </c>
      <c r="C54" s="13">
        <f>B45</f>
        <v>269</v>
      </c>
      <c r="D54" s="14">
        <f>C45</f>
        <v>0.52436647173489281</v>
      </c>
      <c r="E54" s="15"/>
      <c r="F54" s="9"/>
    </row>
    <row r="55" spans="1:6" ht="15.6" x14ac:dyDescent="0.3">
      <c r="A55" s="16" t="s">
        <v>44</v>
      </c>
    </row>
    <row r="56" spans="1:6" x14ac:dyDescent="0.3">
      <c r="A56" s="3" t="s">
        <v>4</v>
      </c>
      <c r="B56" t="s">
        <v>25</v>
      </c>
    </row>
    <row r="57" spans="1:6" x14ac:dyDescent="0.3">
      <c r="A57" s="4" t="s">
        <v>17</v>
      </c>
      <c r="B57" s="7">
        <v>76</v>
      </c>
    </row>
    <row r="58" spans="1:6" x14ac:dyDescent="0.3">
      <c r="A58" s="4" t="s">
        <v>18</v>
      </c>
      <c r="B58" s="7">
        <v>69</v>
      </c>
    </row>
    <row r="59" spans="1:6" x14ac:dyDescent="0.3">
      <c r="A59" s="4" t="s">
        <v>19</v>
      </c>
      <c r="B59" s="7">
        <v>64</v>
      </c>
    </row>
    <row r="60" spans="1:6" x14ac:dyDescent="0.3">
      <c r="A60" s="4" t="s">
        <v>20</v>
      </c>
      <c r="B60" s="7">
        <v>59</v>
      </c>
    </row>
    <row r="61" spans="1:6" x14ac:dyDescent="0.3">
      <c r="A61" s="4" t="s">
        <v>21</v>
      </c>
      <c r="B61" s="7">
        <v>58</v>
      </c>
    </row>
    <row r="62" spans="1:6" x14ac:dyDescent="0.3">
      <c r="A62" s="4" t="s">
        <v>22</v>
      </c>
      <c r="B62" s="7">
        <v>66</v>
      </c>
    </row>
    <row r="63" spans="1:6" x14ac:dyDescent="0.3">
      <c r="A63" s="4" t="s">
        <v>23</v>
      </c>
      <c r="B63" s="7">
        <v>67</v>
      </c>
    </row>
    <row r="64" spans="1:6" x14ac:dyDescent="0.3">
      <c r="A64" s="4" t="s">
        <v>24</v>
      </c>
      <c r="B64" s="7">
        <v>54</v>
      </c>
    </row>
    <row r="65" spans="1:2" x14ac:dyDescent="0.3">
      <c r="A65" s="4" t="s">
        <v>5</v>
      </c>
      <c r="B65" s="7">
        <v>513</v>
      </c>
    </row>
    <row r="68" spans="1:2" ht="18" x14ac:dyDescent="0.35">
      <c r="A68" s="17" t="s">
        <v>43</v>
      </c>
    </row>
    <row r="69" spans="1:2" x14ac:dyDescent="0.3">
      <c r="A69" s="3" t="s">
        <v>4</v>
      </c>
      <c r="B69" t="s">
        <v>28</v>
      </c>
    </row>
    <row r="70" spans="1:2" x14ac:dyDescent="0.3">
      <c r="A70" s="4" t="s">
        <v>27</v>
      </c>
      <c r="B70" s="7">
        <v>316</v>
      </c>
    </row>
    <row r="71" spans="1:2" x14ac:dyDescent="0.3">
      <c r="A71" s="4" t="s">
        <v>26</v>
      </c>
      <c r="B71" s="7">
        <v>197</v>
      </c>
    </row>
    <row r="72" spans="1:2" x14ac:dyDescent="0.3">
      <c r="A72" s="4" t="s">
        <v>5</v>
      </c>
      <c r="B72" s="7">
        <v>513</v>
      </c>
    </row>
    <row r="76" spans="1:2" ht="15.6" x14ac:dyDescent="0.3">
      <c r="A76" s="16" t="s">
        <v>42</v>
      </c>
    </row>
    <row r="77" spans="1:2" x14ac:dyDescent="0.3">
      <c r="A77" s="3" t="s">
        <v>4</v>
      </c>
      <c r="B77" t="s">
        <v>31</v>
      </c>
    </row>
    <row r="78" spans="1:2" x14ac:dyDescent="0.3">
      <c r="A78" s="4" t="s">
        <v>29</v>
      </c>
      <c r="B78" s="7">
        <v>241</v>
      </c>
    </row>
    <row r="79" spans="1:2" x14ac:dyDescent="0.3">
      <c r="A79" s="4" t="s">
        <v>30</v>
      </c>
      <c r="B79" s="7">
        <v>272</v>
      </c>
    </row>
    <row r="80" spans="1:2" x14ac:dyDescent="0.3">
      <c r="A80" s="4" t="s">
        <v>5</v>
      </c>
      <c r="B80" s="7">
        <v>513</v>
      </c>
    </row>
    <row r="83" spans="1:2" x14ac:dyDescent="0.3">
      <c r="A83" s="3" t="s">
        <v>4</v>
      </c>
      <c r="B83" t="s">
        <v>40</v>
      </c>
    </row>
    <row r="84" spans="1:2" x14ac:dyDescent="0.3">
      <c r="A84" s="4" t="s">
        <v>33</v>
      </c>
      <c r="B84" s="7">
        <v>4</v>
      </c>
    </row>
    <row r="85" spans="1:2" x14ac:dyDescent="0.3">
      <c r="A85" s="4" t="s">
        <v>39</v>
      </c>
      <c r="B85" s="7">
        <v>5</v>
      </c>
    </row>
    <row r="86" spans="1:2" x14ac:dyDescent="0.3">
      <c r="A86" s="4" t="s">
        <v>35</v>
      </c>
      <c r="B86" s="7">
        <v>9</v>
      </c>
    </row>
    <row r="87" spans="1:2" x14ac:dyDescent="0.3">
      <c r="A87" s="4" t="s">
        <v>38</v>
      </c>
      <c r="B87" s="7">
        <v>14</v>
      </c>
    </row>
    <row r="88" spans="1:2" x14ac:dyDescent="0.3">
      <c r="A88" s="4" t="s">
        <v>32</v>
      </c>
      <c r="B88" s="7">
        <v>14</v>
      </c>
    </row>
    <row r="89" spans="1:2" x14ac:dyDescent="0.3">
      <c r="A89" s="4" t="s">
        <v>37</v>
      </c>
      <c r="B89" s="7">
        <v>65</v>
      </c>
    </row>
    <row r="90" spans="1:2" x14ac:dyDescent="0.3">
      <c r="A90" s="4" t="s">
        <v>34</v>
      </c>
      <c r="B90" s="7">
        <v>103</v>
      </c>
    </row>
    <row r="91" spans="1:2" x14ac:dyDescent="0.3">
      <c r="A91" s="4" t="s">
        <v>36</v>
      </c>
      <c r="B91" s="7">
        <v>299</v>
      </c>
    </row>
    <row r="92" spans="1:2" x14ac:dyDescent="0.3">
      <c r="A92" s="4" t="s">
        <v>5</v>
      </c>
      <c r="B92" s="7">
        <v>513</v>
      </c>
    </row>
    <row r="96" spans="1:2" x14ac:dyDescent="0.3">
      <c r="A96" s="3" t="s">
        <v>4</v>
      </c>
    </row>
    <row r="97" spans="1:1" x14ac:dyDescent="0.3">
      <c r="A97" s="4" t="s">
        <v>48</v>
      </c>
    </row>
    <row r="98" spans="1:1" x14ac:dyDescent="0.3">
      <c r="A98"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DA20-B31F-4EF8-B863-CC923DB1A136}">
  <dimension ref="A1:M18"/>
  <sheetViews>
    <sheetView tabSelected="1" zoomScale="130" zoomScaleNormal="130" workbookViewId="0">
      <selection activeCell="G23" sqref="G23"/>
    </sheetView>
  </sheetViews>
  <sheetFormatPr defaultRowHeight="14.4" x14ac:dyDescent="0.3"/>
  <cols>
    <col min="10" max="10" width="8.88671875" customWidth="1"/>
  </cols>
  <sheetData>
    <row r="1" spans="1:13" x14ac:dyDescent="0.3">
      <c r="A1" s="2" t="s">
        <v>41</v>
      </c>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row r="18" spans="1:13" x14ac:dyDescent="0.3">
      <c r="A18" s="2"/>
      <c r="B18" s="2"/>
      <c r="C18" s="2"/>
      <c r="D18" s="2"/>
      <c r="E18" s="2"/>
      <c r="F18" s="2"/>
      <c r="G18" s="2"/>
      <c r="H18" s="2"/>
      <c r="I18" s="2"/>
      <c r="J18" s="2"/>
      <c r="K18" s="2"/>
      <c r="L18" s="2"/>
      <c r="M18"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CA12-F750-4949-A5B5-12C0689724D3}">
  <dimension ref="C5:M23"/>
  <sheetViews>
    <sheetView workbookViewId="0"/>
  </sheetViews>
  <sheetFormatPr defaultRowHeight="14.4" x14ac:dyDescent="0.3"/>
  <sheetData>
    <row r="5" spans="3:13" x14ac:dyDescent="0.3">
      <c r="C5" s="5"/>
      <c r="D5" s="5"/>
      <c r="E5" s="5"/>
      <c r="F5" s="5"/>
      <c r="G5" s="5"/>
      <c r="H5" s="5"/>
      <c r="I5" s="5"/>
      <c r="J5" s="5"/>
      <c r="K5" s="5"/>
      <c r="L5" s="5"/>
      <c r="M5" s="5"/>
    </row>
    <row r="6" spans="3:13" x14ac:dyDescent="0.3">
      <c r="C6" s="5"/>
      <c r="D6" s="5"/>
      <c r="E6" s="5"/>
      <c r="F6" s="5"/>
      <c r="G6" s="5"/>
      <c r="H6" s="5"/>
      <c r="I6" s="5"/>
      <c r="J6" s="5"/>
      <c r="K6" s="5"/>
      <c r="L6" s="5"/>
      <c r="M6" s="5"/>
    </row>
    <row r="7" spans="3:13" x14ac:dyDescent="0.3">
      <c r="C7" s="5"/>
      <c r="D7" s="5"/>
      <c r="E7" s="5"/>
      <c r="F7" s="5"/>
      <c r="G7" s="5"/>
      <c r="H7" s="5"/>
      <c r="I7" s="5"/>
      <c r="J7" s="5"/>
      <c r="K7" s="5"/>
      <c r="L7" s="5"/>
      <c r="M7" s="5"/>
    </row>
    <row r="8" spans="3:13" x14ac:dyDescent="0.3">
      <c r="C8" s="5"/>
      <c r="D8" s="5"/>
      <c r="E8" s="5"/>
      <c r="F8" s="5"/>
      <c r="G8" s="5"/>
      <c r="H8" s="5"/>
      <c r="I8" s="5"/>
      <c r="J8" s="5"/>
      <c r="K8" s="5"/>
      <c r="L8" s="5"/>
      <c r="M8" s="5"/>
    </row>
    <row r="9" spans="3:13" x14ac:dyDescent="0.3">
      <c r="C9" s="5"/>
      <c r="D9" s="5"/>
      <c r="E9" s="5"/>
      <c r="F9" s="5"/>
      <c r="G9" s="5"/>
      <c r="H9" s="5"/>
      <c r="I9" s="5"/>
      <c r="J9" s="5"/>
      <c r="K9" s="5"/>
      <c r="L9" s="5"/>
      <c r="M9" s="5"/>
    </row>
    <row r="10" spans="3:13" x14ac:dyDescent="0.3">
      <c r="C10" s="5"/>
      <c r="D10" s="5"/>
      <c r="E10" s="5"/>
      <c r="F10" s="5"/>
      <c r="G10" s="5"/>
      <c r="H10" s="5"/>
      <c r="I10" s="5"/>
      <c r="J10" s="5"/>
      <c r="K10" s="5"/>
      <c r="L10" s="5"/>
      <c r="M10" s="5"/>
    </row>
    <row r="11" spans="3:13" x14ac:dyDescent="0.3">
      <c r="C11" s="5"/>
      <c r="D11" s="5"/>
      <c r="E11" s="5"/>
      <c r="F11" s="5"/>
      <c r="G11" s="5"/>
      <c r="H11" s="5"/>
      <c r="I11" s="5"/>
      <c r="J11" s="5"/>
      <c r="K11" s="5"/>
      <c r="L11" s="5"/>
      <c r="M11" s="5"/>
    </row>
    <row r="12" spans="3:13" x14ac:dyDescent="0.3">
      <c r="C12" s="5"/>
      <c r="D12" s="5"/>
      <c r="E12" s="5"/>
      <c r="F12" s="5"/>
      <c r="G12" s="5"/>
      <c r="H12" s="5"/>
      <c r="I12" s="5"/>
      <c r="J12" s="5"/>
      <c r="K12" s="5"/>
      <c r="L12" s="5"/>
      <c r="M12" s="5"/>
    </row>
    <row r="13" spans="3:13" x14ac:dyDescent="0.3">
      <c r="C13" s="5"/>
      <c r="D13" s="5"/>
      <c r="E13" s="5"/>
      <c r="F13" s="5"/>
      <c r="G13" s="5"/>
      <c r="H13" s="5"/>
      <c r="I13" s="5"/>
      <c r="J13" s="5"/>
      <c r="K13" s="5"/>
      <c r="L13" s="5"/>
      <c r="M13" s="5"/>
    </row>
    <row r="14" spans="3:13" x14ac:dyDescent="0.3">
      <c r="C14" s="5"/>
      <c r="D14" s="5"/>
      <c r="E14" s="5"/>
      <c r="F14" s="5"/>
      <c r="G14" s="5"/>
      <c r="H14" s="5"/>
      <c r="I14" s="5"/>
      <c r="J14" s="5"/>
      <c r="K14" s="5"/>
      <c r="L14" s="5"/>
      <c r="M14" s="5"/>
    </row>
    <row r="15" spans="3:13" x14ac:dyDescent="0.3">
      <c r="C15" s="5"/>
      <c r="D15" s="5"/>
      <c r="E15" s="5"/>
      <c r="F15" s="5"/>
      <c r="G15" s="5"/>
      <c r="H15" s="5"/>
      <c r="I15" s="5"/>
      <c r="J15" s="5"/>
      <c r="K15" s="5"/>
      <c r="L15" s="5"/>
      <c r="M15" s="5"/>
    </row>
    <row r="16" spans="3:13" x14ac:dyDescent="0.3">
      <c r="C16" s="5"/>
      <c r="D16" s="5"/>
      <c r="E16" s="5"/>
      <c r="F16" s="5"/>
      <c r="G16" s="5"/>
      <c r="H16" s="5"/>
      <c r="I16" s="5"/>
      <c r="J16" s="5"/>
      <c r="K16" s="5"/>
      <c r="L16" s="5"/>
      <c r="M16" s="5"/>
    </row>
    <row r="17" spans="3:13" x14ac:dyDescent="0.3">
      <c r="C17" s="5"/>
      <c r="D17" s="5"/>
      <c r="E17" s="5"/>
      <c r="F17" s="5"/>
      <c r="G17" s="5"/>
      <c r="H17" s="5"/>
      <c r="I17" s="5"/>
      <c r="J17" s="5"/>
      <c r="K17" s="5"/>
      <c r="L17" s="5"/>
      <c r="M17" s="5"/>
    </row>
    <row r="18" spans="3:13" x14ac:dyDescent="0.3">
      <c r="C18" s="5"/>
      <c r="D18" s="5"/>
      <c r="E18" s="5"/>
      <c r="F18" s="5"/>
      <c r="G18" s="5"/>
      <c r="H18" s="5"/>
      <c r="I18" s="5"/>
      <c r="J18" s="5"/>
      <c r="K18" s="5"/>
      <c r="L18" s="5"/>
      <c r="M18" s="5"/>
    </row>
    <row r="19" spans="3:13" x14ac:dyDescent="0.3">
      <c r="C19" s="5"/>
      <c r="D19" s="5"/>
      <c r="E19" s="5"/>
      <c r="F19" s="5"/>
      <c r="G19" s="5"/>
      <c r="H19" s="5"/>
      <c r="I19" s="5"/>
      <c r="J19" s="5"/>
      <c r="K19" s="5"/>
      <c r="L19" s="5"/>
      <c r="M19" s="5"/>
    </row>
    <row r="20" spans="3:13" x14ac:dyDescent="0.3">
      <c r="C20" s="5"/>
      <c r="D20" s="5"/>
      <c r="E20" s="5"/>
      <c r="F20" s="5"/>
      <c r="G20" s="5"/>
      <c r="H20" s="5"/>
      <c r="I20" s="5"/>
      <c r="J20" s="5"/>
      <c r="K20" s="5"/>
      <c r="L20" s="5"/>
      <c r="M20" s="5"/>
    </row>
    <row r="21" spans="3:13" x14ac:dyDescent="0.3">
      <c r="C21" s="5"/>
      <c r="D21" s="5"/>
      <c r="E21" s="5"/>
      <c r="F21" s="5"/>
      <c r="G21" s="5"/>
      <c r="H21" s="5"/>
      <c r="I21" s="5"/>
      <c r="J21" s="5"/>
      <c r="K21" s="5"/>
      <c r="L21" s="5"/>
      <c r="M21" s="5"/>
    </row>
    <row r="22" spans="3:13" x14ac:dyDescent="0.3">
      <c r="C22" s="5"/>
      <c r="D22" s="5"/>
      <c r="E22" s="5"/>
      <c r="F22" s="5"/>
      <c r="G22" s="5"/>
      <c r="H22" s="5"/>
      <c r="I22" s="5"/>
      <c r="J22" s="5"/>
      <c r="K22" s="5"/>
      <c r="L22" s="5"/>
      <c r="M22" s="5"/>
    </row>
    <row r="23" spans="3:13" x14ac:dyDescent="0.3">
      <c r="C23" s="18" t="s">
        <v>6</v>
      </c>
      <c r="D23" s="18"/>
      <c r="E23" s="18"/>
      <c r="F23" s="18"/>
      <c r="G23" s="18"/>
      <c r="H23" s="18"/>
      <c r="I23" s="18"/>
      <c r="J23" s="18"/>
      <c r="K23" s="18"/>
      <c r="L23" s="18"/>
      <c r="M23" s="18"/>
    </row>
  </sheetData>
  <mergeCells count="1">
    <mergeCell ref="C23:M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C3F9-EBE7-4E1E-9968-A9D3D6A5738F}">
  <dimension ref="A1:O28"/>
  <sheetViews>
    <sheetView zoomScale="75" workbookViewId="0"/>
  </sheetViews>
  <sheetFormatPr defaultRowHeight="14.4" x14ac:dyDescent="0.3"/>
  <cols>
    <col min="1" max="1" width="7" customWidth="1"/>
    <col min="15" max="15" width="11.44140625" customWidth="1"/>
  </cols>
  <sheetData>
    <row r="1" spans="1:15" x14ac:dyDescent="0.3">
      <c r="A1" s="5"/>
    </row>
    <row r="2" spans="1:15" x14ac:dyDescent="0.3">
      <c r="B2" s="5"/>
      <c r="C2" s="5"/>
      <c r="D2" s="5"/>
      <c r="E2" s="5"/>
      <c r="F2" s="5"/>
      <c r="G2" s="5"/>
      <c r="H2" s="5"/>
      <c r="I2" s="5"/>
      <c r="J2" s="5"/>
      <c r="K2" s="5"/>
      <c r="L2" s="5"/>
      <c r="M2" s="5"/>
      <c r="N2" s="5"/>
      <c r="O2" s="5"/>
    </row>
    <row r="3" spans="1:15" x14ac:dyDescent="0.3">
      <c r="B3" s="5"/>
      <c r="C3" s="5"/>
      <c r="D3" s="5"/>
      <c r="E3" s="5"/>
      <c r="F3" s="5"/>
      <c r="G3" s="5"/>
      <c r="H3" s="5"/>
      <c r="I3" s="5"/>
      <c r="J3" s="5"/>
      <c r="K3" s="5"/>
      <c r="L3" s="5"/>
      <c r="M3" s="5"/>
      <c r="N3" s="5"/>
      <c r="O3" s="5"/>
    </row>
    <row r="4" spans="1:15" x14ac:dyDescent="0.3">
      <c r="B4" s="5"/>
      <c r="C4" s="5"/>
      <c r="D4" s="5"/>
      <c r="E4" s="5"/>
      <c r="F4" s="5"/>
      <c r="G4" s="5"/>
      <c r="H4" s="5"/>
      <c r="I4" s="5"/>
      <c r="J4" s="5"/>
      <c r="K4" s="5"/>
      <c r="L4" s="5"/>
      <c r="M4" s="5"/>
      <c r="N4" s="5"/>
      <c r="O4" s="5"/>
    </row>
    <row r="5" spans="1:15" x14ac:dyDescent="0.3">
      <c r="B5" s="5"/>
      <c r="C5" s="5"/>
      <c r="D5" s="5"/>
      <c r="E5" s="5"/>
      <c r="F5" s="5"/>
      <c r="G5" s="5"/>
      <c r="H5" s="5"/>
      <c r="I5" s="5"/>
      <c r="J5" s="5"/>
      <c r="K5" s="5"/>
      <c r="L5" s="5"/>
      <c r="M5" s="5"/>
      <c r="N5" s="5"/>
      <c r="O5" s="5"/>
    </row>
    <row r="6" spans="1:15" x14ac:dyDescent="0.3">
      <c r="B6" s="5"/>
      <c r="C6" s="5"/>
      <c r="D6" s="5"/>
      <c r="E6" s="5"/>
      <c r="F6" s="5"/>
      <c r="G6" s="5"/>
      <c r="H6" s="5"/>
      <c r="I6" s="5"/>
      <c r="J6" s="5"/>
      <c r="K6" s="5"/>
      <c r="L6" s="5"/>
      <c r="M6" s="5"/>
      <c r="N6" s="5"/>
      <c r="O6" s="5"/>
    </row>
    <row r="7" spans="1:15" x14ac:dyDescent="0.3">
      <c r="B7" s="5"/>
      <c r="C7" s="5"/>
      <c r="D7" s="5"/>
      <c r="E7" s="5"/>
      <c r="F7" s="5"/>
      <c r="G7" s="5"/>
      <c r="H7" s="5"/>
      <c r="I7" s="5"/>
      <c r="J7" s="5"/>
      <c r="K7" s="5"/>
      <c r="L7" s="5"/>
      <c r="M7" s="5"/>
      <c r="N7" s="5"/>
      <c r="O7" s="5"/>
    </row>
    <row r="8" spans="1:15" x14ac:dyDescent="0.3">
      <c r="B8" s="5"/>
      <c r="C8" s="5"/>
      <c r="D8" s="5"/>
      <c r="E8" s="5"/>
      <c r="F8" s="5"/>
      <c r="G8" s="5"/>
      <c r="H8" s="5"/>
      <c r="I8" s="5"/>
      <c r="J8" s="5"/>
      <c r="K8" s="5"/>
      <c r="L8" s="5"/>
      <c r="M8" s="5"/>
      <c r="N8" s="5"/>
      <c r="O8" s="5"/>
    </row>
    <row r="9" spans="1:15" x14ac:dyDescent="0.3">
      <c r="B9" s="5"/>
      <c r="C9" s="5"/>
      <c r="D9" s="5"/>
      <c r="E9" s="5"/>
      <c r="F9" s="5"/>
      <c r="G9" s="5"/>
      <c r="H9" s="5"/>
      <c r="I9" s="5"/>
      <c r="J9" s="5"/>
      <c r="K9" s="5"/>
      <c r="L9" s="5"/>
      <c r="M9" s="5"/>
      <c r="N9" s="5"/>
      <c r="O9" s="5"/>
    </row>
    <row r="10" spans="1:15" x14ac:dyDescent="0.3">
      <c r="B10" s="5"/>
      <c r="C10" s="5"/>
      <c r="D10" s="5"/>
      <c r="E10" s="5"/>
      <c r="F10" s="5"/>
      <c r="G10" s="5"/>
      <c r="H10" s="5"/>
      <c r="I10" s="5"/>
      <c r="J10" s="5"/>
      <c r="K10" s="5"/>
      <c r="L10" s="5"/>
      <c r="M10" s="5"/>
      <c r="N10" s="5"/>
      <c r="O10" s="5"/>
    </row>
    <row r="11" spans="1:15" x14ac:dyDescent="0.3">
      <c r="B11" s="5"/>
      <c r="C11" s="5"/>
      <c r="D11" s="5"/>
      <c r="E11" s="5"/>
      <c r="F11" s="5"/>
      <c r="G11" s="5"/>
      <c r="H11" s="5"/>
      <c r="I11" s="5"/>
      <c r="J11" s="5"/>
      <c r="K11" s="5"/>
      <c r="L11" s="5"/>
      <c r="M11" s="5"/>
      <c r="N11" s="5"/>
      <c r="O11" s="5"/>
    </row>
    <row r="12" spans="1:15" x14ac:dyDescent="0.3">
      <c r="B12" s="5"/>
      <c r="C12" s="5"/>
      <c r="D12" s="5"/>
      <c r="E12" s="5"/>
      <c r="F12" s="5"/>
      <c r="G12" s="5"/>
      <c r="H12" s="5"/>
      <c r="I12" s="5"/>
      <c r="J12" s="5"/>
      <c r="K12" s="5"/>
      <c r="L12" s="5"/>
      <c r="M12" s="5"/>
      <c r="N12" s="5"/>
      <c r="O12" s="5"/>
    </row>
    <row r="13" spans="1:15" x14ac:dyDescent="0.3">
      <c r="B13" s="5"/>
      <c r="C13" s="5"/>
      <c r="D13" s="5"/>
      <c r="E13" s="5"/>
      <c r="F13" s="5"/>
      <c r="G13" s="5"/>
      <c r="H13" s="5"/>
      <c r="I13" s="5"/>
      <c r="J13" s="5"/>
      <c r="K13" s="5"/>
      <c r="L13" s="5"/>
      <c r="M13" s="5"/>
      <c r="N13" s="5"/>
      <c r="O13" s="5"/>
    </row>
    <row r="14" spans="1:15" x14ac:dyDescent="0.3">
      <c r="B14" s="5"/>
      <c r="C14" s="5"/>
      <c r="D14" s="5"/>
      <c r="E14" s="5"/>
      <c r="F14" s="5"/>
      <c r="G14" s="5"/>
      <c r="H14" s="5"/>
      <c r="I14" s="5"/>
      <c r="J14" s="5"/>
      <c r="K14" s="5"/>
      <c r="L14" s="5"/>
      <c r="M14" s="5"/>
      <c r="N14" s="5"/>
      <c r="O14" s="5"/>
    </row>
    <row r="15" spans="1:15" x14ac:dyDescent="0.3">
      <c r="B15" s="5"/>
      <c r="C15" s="5"/>
      <c r="D15" s="5"/>
      <c r="E15" s="5"/>
      <c r="F15" s="5"/>
      <c r="G15" s="5"/>
      <c r="H15" s="5"/>
      <c r="I15" s="5"/>
      <c r="J15" s="5"/>
      <c r="K15" s="5"/>
      <c r="L15" s="5"/>
      <c r="M15" s="5"/>
      <c r="N15" s="5"/>
      <c r="O15" s="5"/>
    </row>
    <row r="16" spans="1:15" x14ac:dyDescent="0.3">
      <c r="B16" s="5"/>
      <c r="C16" s="5"/>
      <c r="D16" s="5"/>
      <c r="E16" s="5"/>
      <c r="F16" s="5"/>
      <c r="G16" s="5"/>
      <c r="H16" s="5"/>
      <c r="I16" s="5"/>
      <c r="J16" s="5"/>
      <c r="K16" s="5"/>
      <c r="L16" s="5"/>
      <c r="M16" s="5"/>
      <c r="N16" s="5"/>
      <c r="O16" s="5"/>
    </row>
    <row r="17" spans="2:15" x14ac:dyDescent="0.3">
      <c r="B17" s="5"/>
      <c r="C17" s="5"/>
      <c r="D17" s="5"/>
      <c r="E17" s="5"/>
      <c r="F17" s="5"/>
      <c r="G17" s="5"/>
      <c r="H17" s="5"/>
      <c r="I17" s="5"/>
      <c r="J17" s="5"/>
      <c r="K17" s="5"/>
      <c r="L17" s="5"/>
      <c r="M17" s="5"/>
      <c r="N17" s="5"/>
      <c r="O17" s="5"/>
    </row>
    <row r="18" spans="2:15" x14ac:dyDescent="0.3">
      <c r="B18" s="5"/>
      <c r="C18" s="5"/>
      <c r="D18" s="5"/>
      <c r="E18" s="5"/>
      <c r="F18" s="5"/>
      <c r="G18" s="5"/>
      <c r="H18" s="5"/>
      <c r="I18" s="5"/>
      <c r="J18" s="5"/>
      <c r="K18" s="5"/>
      <c r="L18" s="5"/>
      <c r="M18" s="5"/>
      <c r="N18" s="5"/>
      <c r="O18" s="5"/>
    </row>
    <row r="19" spans="2:15" x14ac:dyDescent="0.3">
      <c r="B19" s="5"/>
      <c r="C19" s="5"/>
      <c r="D19" s="5"/>
      <c r="E19" s="5"/>
      <c r="F19" s="5"/>
      <c r="G19" s="5"/>
      <c r="H19" s="5"/>
      <c r="I19" s="5"/>
      <c r="J19" s="5"/>
      <c r="K19" s="5"/>
      <c r="L19" s="5"/>
      <c r="M19" s="5"/>
      <c r="N19" s="5"/>
      <c r="O19" s="5"/>
    </row>
    <row r="20" spans="2:15" x14ac:dyDescent="0.3">
      <c r="B20" s="5"/>
      <c r="C20" s="5"/>
      <c r="D20" s="5"/>
      <c r="E20" s="5"/>
      <c r="F20" s="5"/>
      <c r="G20" s="5"/>
      <c r="H20" s="5"/>
      <c r="I20" s="5"/>
      <c r="J20" s="5"/>
      <c r="K20" s="5"/>
      <c r="L20" s="5"/>
      <c r="M20" s="5"/>
      <c r="N20" s="5"/>
      <c r="O20" s="5"/>
    </row>
    <row r="21" spans="2:15" x14ac:dyDescent="0.3">
      <c r="B21" s="5"/>
      <c r="C21" s="5"/>
      <c r="D21" s="5"/>
      <c r="E21" s="5"/>
      <c r="F21" s="5"/>
      <c r="G21" s="5"/>
      <c r="H21" s="5"/>
      <c r="I21" s="5"/>
      <c r="J21" s="5"/>
      <c r="K21" s="5"/>
      <c r="L21" s="5"/>
      <c r="M21" s="5"/>
      <c r="N21" s="5"/>
      <c r="O21" s="5"/>
    </row>
    <row r="22" spans="2:15" x14ac:dyDescent="0.3">
      <c r="B22" s="5"/>
      <c r="C22" s="5"/>
      <c r="D22" s="5"/>
      <c r="E22" s="5"/>
      <c r="F22" s="5"/>
      <c r="G22" s="5"/>
      <c r="H22" s="5"/>
      <c r="I22" s="5"/>
      <c r="J22" s="5"/>
      <c r="K22" s="5"/>
      <c r="L22" s="5"/>
      <c r="M22" s="5"/>
      <c r="N22" s="5"/>
      <c r="O22" s="5"/>
    </row>
    <row r="23" spans="2:15" x14ac:dyDescent="0.3">
      <c r="B23" s="5"/>
      <c r="C23" s="5"/>
      <c r="D23" s="5"/>
      <c r="E23" s="5"/>
      <c r="F23" s="5"/>
      <c r="G23" s="5"/>
      <c r="H23" s="5"/>
      <c r="I23" s="5"/>
      <c r="J23" s="5"/>
      <c r="K23" s="5"/>
      <c r="L23" s="5"/>
      <c r="M23" s="5"/>
      <c r="N23" s="5"/>
      <c r="O23" s="5"/>
    </row>
    <row r="24" spans="2:15" x14ac:dyDescent="0.3">
      <c r="B24" s="5"/>
      <c r="C24" s="5"/>
      <c r="D24" s="5"/>
      <c r="E24" s="5"/>
      <c r="F24" s="5"/>
      <c r="G24" s="5"/>
      <c r="H24" s="5"/>
      <c r="I24" s="5"/>
      <c r="J24" s="5"/>
      <c r="K24" s="5"/>
      <c r="L24" s="5"/>
      <c r="M24" s="5"/>
      <c r="N24" s="5"/>
      <c r="O24" s="5"/>
    </row>
    <row r="25" spans="2:15" x14ac:dyDescent="0.3">
      <c r="B25" s="5"/>
      <c r="C25" s="5"/>
      <c r="D25" s="5"/>
      <c r="E25" s="5"/>
      <c r="F25" s="5"/>
      <c r="G25" s="5"/>
      <c r="H25" s="5"/>
      <c r="I25" s="5"/>
      <c r="J25" s="5"/>
      <c r="K25" s="5"/>
      <c r="L25" s="5"/>
      <c r="M25" s="5"/>
      <c r="N25" s="5"/>
      <c r="O25" s="5"/>
    </row>
    <row r="26" spans="2:15" x14ac:dyDescent="0.3">
      <c r="B26" s="5"/>
      <c r="C26" s="5"/>
      <c r="D26" s="5"/>
      <c r="E26" s="5"/>
      <c r="F26" s="5"/>
      <c r="G26" s="5"/>
      <c r="H26" s="5"/>
      <c r="I26" s="5"/>
      <c r="J26" s="5"/>
      <c r="K26" s="5"/>
      <c r="L26" s="5"/>
      <c r="M26" s="5"/>
      <c r="N26" s="5"/>
      <c r="O26" s="5"/>
    </row>
    <row r="27" spans="2:15" x14ac:dyDescent="0.3">
      <c r="B27" s="5"/>
      <c r="C27" s="5"/>
      <c r="D27" s="5"/>
      <c r="E27" s="5"/>
      <c r="F27" s="5"/>
      <c r="G27" s="5"/>
      <c r="H27" s="5"/>
      <c r="I27" s="5"/>
      <c r="J27" s="5"/>
      <c r="K27" s="5"/>
      <c r="L27" s="5"/>
      <c r="M27" s="5"/>
      <c r="N27" s="5"/>
      <c r="O27" s="5"/>
    </row>
    <row r="28" spans="2:15" ht="18" x14ac:dyDescent="0.35">
      <c r="B28" s="19" t="s">
        <v>8</v>
      </c>
      <c r="C28" s="20"/>
      <c r="D28" s="20"/>
      <c r="E28" s="20"/>
      <c r="F28" s="20"/>
      <c r="G28" s="20"/>
      <c r="H28" s="20"/>
      <c r="I28" s="20"/>
      <c r="J28" s="20"/>
      <c r="K28" s="20"/>
      <c r="L28" s="20"/>
      <c r="M28" s="20"/>
      <c r="N28" s="20"/>
      <c r="O28" s="20"/>
    </row>
  </sheetData>
  <mergeCells count="1">
    <mergeCell ref="B28:O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52A3-B67F-423F-8AE4-DBAF8B908CF4}">
  <dimension ref="A1:O28"/>
  <sheetViews>
    <sheetView zoomScale="75" workbookViewId="0"/>
  </sheetViews>
  <sheetFormatPr defaultRowHeight="14.4" x14ac:dyDescent="0.3"/>
  <cols>
    <col min="1" max="1" width="7" customWidth="1"/>
    <col min="15" max="15" width="11.44140625" customWidth="1"/>
  </cols>
  <sheetData>
    <row r="1" spans="1:15" x14ac:dyDescent="0.3">
      <c r="A1" s="5"/>
    </row>
    <row r="2" spans="1:15" x14ac:dyDescent="0.3">
      <c r="B2" s="5"/>
      <c r="C2" s="5"/>
      <c r="D2" s="5"/>
      <c r="E2" s="5"/>
      <c r="F2" s="5"/>
      <c r="G2" s="5"/>
      <c r="H2" s="5"/>
      <c r="I2" s="5"/>
      <c r="J2" s="5"/>
      <c r="K2" s="5"/>
      <c r="L2" s="5"/>
      <c r="M2" s="5"/>
      <c r="N2" s="5"/>
      <c r="O2" s="5"/>
    </row>
    <row r="3" spans="1:15" x14ac:dyDescent="0.3">
      <c r="B3" s="5"/>
      <c r="C3" s="5"/>
      <c r="D3" s="5"/>
      <c r="E3" s="5"/>
      <c r="F3" s="5"/>
      <c r="G3" s="5"/>
      <c r="H3" s="5"/>
      <c r="I3" s="5"/>
      <c r="J3" s="5"/>
      <c r="K3" s="5"/>
      <c r="L3" s="5"/>
      <c r="M3" s="5"/>
      <c r="N3" s="5"/>
      <c r="O3" s="5"/>
    </row>
    <row r="4" spans="1:15" x14ac:dyDescent="0.3">
      <c r="B4" s="5"/>
      <c r="C4" s="5"/>
      <c r="D4" s="5"/>
      <c r="E4" s="5"/>
      <c r="F4" s="5"/>
      <c r="G4" s="5"/>
      <c r="H4" s="5"/>
      <c r="I4" s="5"/>
      <c r="J4" s="5"/>
      <c r="K4" s="5"/>
      <c r="L4" s="5"/>
      <c r="M4" s="5"/>
      <c r="N4" s="5"/>
      <c r="O4" s="5"/>
    </row>
    <row r="5" spans="1:15" x14ac:dyDescent="0.3">
      <c r="B5" s="5"/>
      <c r="C5" s="5"/>
      <c r="D5" s="5"/>
      <c r="E5" s="5"/>
      <c r="F5" s="5"/>
      <c r="G5" s="5"/>
      <c r="H5" s="5"/>
      <c r="I5" s="5"/>
      <c r="J5" s="5"/>
      <c r="K5" s="5"/>
      <c r="L5" s="5"/>
      <c r="M5" s="5"/>
      <c r="N5" s="5"/>
      <c r="O5" s="5"/>
    </row>
    <row r="6" spans="1:15" x14ac:dyDescent="0.3">
      <c r="B6" s="5"/>
      <c r="C6" s="5"/>
      <c r="D6" s="5"/>
      <c r="E6" s="5"/>
      <c r="F6" s="5"/>
      <c r="G6" s="5"/>
      <c r="H6" s="5"/>
      <c r="I6" s="5"/>
      <c r="J6" s="5"/>
      <c r="K6" s="5"/>
      <c r="L6" s="5"/>
      <c r="M6" s="5"/>
      <c r="N6" s="5"/>
      <c r="O6" s="5"/>
    </row>
    <row r="7" spans="1:15" x14ac:dyDescent="0.3">
      <c r="B7" s="5"/>
      <c r="C7" s="5"/>
      <c r="D7" s="5"/>
      <c r="E7" s="5"/>
      <c r="F7" s="5"/>
      <c r="G7" s="5"/>
      <c r="H7" s="5"/>
      <c r="I7" s="5"/>
      <c r="J7" s="5"/>
      <c r="K7" s="5"/>
      <c r="L7" s="5"/>
      <c r="M7" s="5"/>
      <c r="N7" s="5"/>
      <c r="O7" s="5"/>
    </row>
    <row r="8" spans="1:15" x14ac:dyDescent="0.3">
      <c r="B8" s="5"/>
      <c r="C8" s="5"/>
      <c r="D8" s="5"/>
      <c r="E8" s="5"/>
      <c r="F8" s="5"/>
      <c r="G8" s="5"/>
      <c r="H8" s="5"/>
      <c r="I8" s="5"/>
      <c r="J8" s="5"/>
      <c r="K8" s="5"/>
      <c r="L8" s="5"/>
      <c r="M8" s="5"/>
      <c r="N8" s="5"/>
      <c r="O8" s="5"/>
    </row>
    <row r="9" spans="1:15" x14ac:dyDescent="0.3">
      <c r="B9" s="5"/>
      <c r="C9" s="5"/>
      <c r="D9" s="5"/>
      <c r="E9" s="5"/>
      <c r="F9" s="5"/>
      <c r="G9" s="5"/>
      <c r="H9" s="5"/>
      <c r="I9" s="5"/>
      <c r="J9" s="5"/>
      <c r="K9" s="5"/>
      <c r="L9" s="5"/>
      <c r="M9" s="5"/>
      <c r="N9" s="5"/>
      <c r="O9" s="5"/>
    </row>
    <row r="10" spans="1:15" x14ac:dyDescent="0.3">
      <c r="B10" s="5"/>
      <c r="C10" s="5"/>
      <c r="D10" s="5"/>
      <c r="E10" s="5"/>
      <c r="F10" s="5"/>
      <c r="G10" s="5"/>
      <c r="H10" s="5"/>
      <c r="I10" s="5"/>
      <c r="J10" s="5"/>
      <c r="K10" s="5"/>
      <c r="L10" s="5"/>
      <c r="M10" s="5"/>
      <c r="N10" s="5"/>
      <c r="O10" s="5"/>
    </row>
    <row r="11" spans="1:15" x14ac:dyDescent="0.3">
      <c r="B11" s="5"/>
      <c r="C11" s="5"/>
      <c r="D11" s="5"/>
      <c r="E11" s="5"/>
      <c r="F11" s="5"/>
      <c r="G11" s="5"/>
      <c r="H11" s="5"/>
      <c r="I11" s="5"/>
      <c r="J11" s="5"/>
      <c r="K11" s="5"/>
      <c r="L11" s="5"/>
      <c r="M11" s="5"/>
      <c r="N11" s="5"/>
      <c r="O11" s="5"/>
    </row>
    <row r="12" spans="1:15" x14ac:dyDescent="0.3">
      <c r="B12" s="5"/>
      <c r="C12" s="5"/>
      <c r="D12" s="5"/>
      <c r="E12" s="5"/>
      <c r="F12" s="5"/>
      <c r="G12" s="5"/>
      <c r="H12" s="5"/>
      <c r="I12" s="5"/>
      <c r="J12" s="5"/>
      <c r="K12" s="5"/>
      <c r="L12" s="5"/>
      <c r="M12" s="5"/>
      <c r="N12" s="5"/>
      <c r="O12" s="5"/>
    </row>
    <row r="13" spans="1:15" x14ac:dyDescent="0.3">
      <c r="B13" s="5"/>
      <c r="C13" s="5"/>
      <c r="D13" s="5"/>
      <c r="E13" s="5"/>
      <c r="F13" s="5"/>
      <c r="G13" s="5"/>
      <c r="H13" s="5"/>
      <c r="I13" s="5"/>
      <c r="J13" s="5"/>
      <c r="K13" s="5"/>
      <c r="L13" s="5"/>
      <c r="M13" s="5"/>
      <c r="N13" s="5"/>
      <c r="O13" s="5"/>
    </row>
    <row r="14" spans="1:15" x14ac:dyDescent="0.3">
      <c r="B14" s="5"/>
      <c r="C14" s="5"/>
      <c r="D14" s="5"/>
      <c r="E14" s="5"/>
      <c r="F14" s="5"/>
      <c r="G14" s="5"/>
      <c r="H14" s="5"/>
      <c r="I14" s="5"/>
      <c r="J14" s="5"/>
      <c r="K14" s="5"/>
      <c r="L14" s="5"/>
      <c r="M14" s="5"/>
      <c r="N14" s="5"/>
      <c r="O14" s="5"/>
    </row>
    <row r="15" spans="1:15" x14ac:dyDescent="0.3">
      <c r="B15" s="5"/>
      <c r="C15" s="5"/>
      <c r="D15" s="5"/>
      <c r="E15" s="5"/>
      <c r="F15" s="5"/>
      <c r="G15" s="5"/>
      <c r="H15" s="5"/>
      <c r="I15" s="5"/>
      <c r="J15" s="5"/>
      <c r="K15" s="5"/>
      <c r="L15" s="5"/>
      <c r="M15" s="5"/>
      <c r="N15" s="5"/>
      <c r="O15" s="5"/>
    </row>
    <row r="16" spans="1:15" x14ac:dyDescent="0.3">
      <c r="B16" s="5"/>
      <c r="C16" s="5"/>
      <c r="D16" s="5"/>
      <c r="E16" s="5"/>
      <c r="F16" s="5"/>
      <c r="G16" s="5"/>
      <c r="H16" s="5"/>
      <c r="I16" s="5"/>
      <c r="J16" s="5"/>
      <c r="K16" s="5"/>
      <c r="L16" s="5"/>
      <c r="M16" s="5"/>
      <c r="N16" s="5"/>
      <c r="O16" s="5"/>
    </row>
    <row r="17" spans="2:15" x14ac:dyDescent="0.3">
      <c r="B17" s="5"/>
      <c r="C17" s="5"/>
      <c r="D17" s="5"/>
      <c r="E17" s="5"/>
      <c r="F17" s="5"/>
      <c r="G17" s="5"/>
      <c r="H17" s="5"/>
      <c r="I17" s="5"/>
      <c r="J17" s="5"/>
      <c r="K17" s="5"/>
      <c r="L17" s="5"/>
      <c r="M17" s="5"/>
      <c r="N17" s="5"/>
      <c r="O17" s="5"/>
    </row>
    <row r="18" spans="2:15" x14ac:dyDescent="0.3">
      <c r="B18" s="5"/>
      <c r="C18" s="5"/>
      <c r="D18" s="5"/>
      <c r="E18" s="5"/>
      <c r="F18" s="5"/>
      <c r="G18" s="5"/>
      <c r="H18" s="5"/>
      <c r="I18" s="5"/>
      <c r="J18" s="5"/>
      <c r="K18" s="5"/>
      <c r="L18" s="5"/>
      <c r="M18" s="5"/>
      <c r="N18" s="5"/>
      <c r="O18" s="5"/>
    </row>
    <row r="19" spans="2:15" x14ac:dyDescent="0.3">
      <c r="B19" s="5"/>
      <c r="C19" s="5"/>
      <c r="D19" s="5"/>
      <c r="E19" s="5"/>
      <c r="F19" s="5"/>
      <c r="G19" s="5"/>
      <c r="H19" s="5"/>
      <c r="I19" s="5"/>
      <c r="J19" s="5"/>
      <c r="K19" s="5"/>
      <c r="L19" s="5"/>
      <c r="M19" s="5"/>
      <c r="N19" s="5"/>
      <c r="O19" s="5"/>
    </row>
    <row r="20" spans="2:15" x14ac:dyDescent="0.3">
      <c r="B20" s="5"/>
      <c r="C20" s="5"/>
      <c r="D20" s="5"/>
      <c r="E20" s="5"/>
      <c r="F20" s="5"/>
      <c r="G20" s="5"/>
      <c r="H20" s="5"/>
      <c r="I20" s="5"/>
      <c r="J20" s="5"/>
      <c r="K20" s="5"/>
      <c r="L20" s="5"/>
      <c r="M20" s="5"/>
      <c r="N20" s="5"/>
      <c r="O20" s="5"/>
    </row>
    <row r="21" spans="2:15" x14ac:dyDescent="0.3">
      <c r="B21" s="5"/>
      <c r="C21" s="5"/>
      <c r="D21" s="5"/>
      <c r="E21" s="5"/>
      <c r="F21" s="5"/>
      <c r="G21" s="5"/>
      <c r="H21" s="5"/>
      <c r="I21" s="5"/>
      <c r="J21" s="5"/>
      <c r="K21" s="5"/>
      <c r="L21" s="5"/>
      <c r="M21" s="5"/>
      <c r="N21" s="5"/>
      <c r="O21" s="5"/>
    </row>
    <row r="22" spans="2:15" x14ac:dyDescent="0.3">
      <c r="B22" s="5"/>
      <c r="C22" s="5"/>
      <c r="D22" s="5"/>
      <c r="E22" s="5"/>
      <c r="F22" s="5"/>
      <c r="G22" s="5"/>
      <c r="H22" s="5"/>
      <c r="I22" s="5"/>
      <c r="J22" s="5"/>
      <c r="K22" s="5"/>
      <c r="L22" s="5"/>
      <c r="M22" s="5"/>
      <c r="N22" s="5"/>
      <c r="O22" s="5"/>
    </row>
    <row r="23" spans="2:15" x14ac:dyDescent="0.3">
      <c r="B23" s="5"/>
      <c r="C23" s="5"/>
      <c r="D23" s="5"/>
      <c r="E23" s="5"/>
      <c r="F23" s="5"/>
      <c r="G23" s="5"/>
      <c r="H23" s="5"/>
      <c r="I23" s="5"/>
      <c r="J23" s="5"/>
      <c r="K23" s="5"/>
      <c r="L23" s="5"/>
      <c r="M23" s="5"/>
      <c r="N23" s="5"/>
      <c r="O23" s="5"/>
    </row>
    <row r="24" spans="2:15" x14ac:dyDescent="0.3">
      <c r="B24" s="5"/>
      <c r="C24" s="5"/>
      <c r="D24" s="5"/>
      <c r="E24" s="5"/>
      <c r="F24" s="5"/>
      <c r="G24" s="5"/>
      <c r="H24" s="5"/>
      <c r="I24" s="5"/>
      <c r="J24" s="5"/>
      <c r="K24" s="5"/>
      <c r="L24" s="5"/>
      <c r="M24" s="5"/>
      <c r="N24" s="5"/>
      <c r="O24" s="5"/>
    </row>
    <row r="25" spans="2:15" x14ac:dyDescent="0.3">
      <c r="B25" s="5"/>
      <c r="C25" s="5"/>
      <c r="D25" s="5"/>
      <c r="E25" s="5"/>
      <c r="F25" s="5"/>
      <c r="G25" s="5"/>
      <c r="H25" s="5"/>
      <c r="I25" s="5"/>
      <c r="J25" s="5"/>
      <c r="K25" s="5"/>
      <c r="L25" s="5"/>
      <c r="M25" s="5"/>
      <c r="N25" s="5"/>
      <c r="O25" s="5"/>
    </row>
    <row r="26" spans="2:15" x14ac:dyDescent="0.3">
      <c r="B26" s="5"/>
      <c r="C26" s="5"/>
      <c r="D26" s="5"/>
      <c r="E26" s="5"/>
      <c r="F26" s="5"/>
      <c r="G26" s="5"/>
      <c r="H26" s="5"/>
      <c r="I26" s="5"/>
      <c r="J26" s="5"/>
      <c r="K26" s="5"/>
      <c r="L26" s="5"/>
      <c r="M26" s="5"/>
      <c r="N26" s="5"/>
      <c r="O26" s="5"/>
    </row>
    <row r="27" spans="2:15" x14ac:dyDescent="0.3">
      <c r="B27" s="5"/>
      <c r="C27" s="5"/>
      <c r="D27" s="5"/>
      <c r="E27" s="5"/>
      <c r="F27" s="5"/>
      <c r="G27" s="5"/>
      <c r="H27" s="5"/>
      <c r="I27" s="5"/>
      <c r="J27" s="5"/>
      <c r="K27" s="5"/>
      <c r="L27" s="5"/>
      <c r="M27" s="5"/>
      <c r="N27" s="5"/>
      <c r="O27" s="5"/>
    </row>
    <row r="28" spans="2:15" ht="18" x14ac:dyDescent="0.35">
      <c r="B28" s="19" t="s">
        <v>9</v>
      </c>
      <c r="C28" s="20"/>
      <c r="D28" s="20"/>
      <c r="E28" s="20"/>
      <c r="F28" s="20"/>
      <c r="G28" s="20"/>
      <c r="H28" s="20"/>
      <c r="I28" s="20"/>
      <c r="J28" s="20"/>
      <c r="K28" s="20"/>
      <c r="L28" s="20"/>
      <c r="M28" s="20"/>
      <c r="N28" s="20"/>
      <c r="O28" s="20"/>
    </row>
  </sheetData>
  <mergeCells count="1">
    <mergeCell ref="B28:O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418D478-1B88-4FC3-BF2B-AE3E937FCC1E}">
  <ds:schemaRefs/>
</ds:datastoreItem>
</file>

<file path=customXml/itemProps2.xml><?xml version="1.0" encoding="utf-8"?>
<ds:datastoreItem xmlns:ds="http://schemas.openxmlformats.org/officeDocument/2006/customXml" ds:itemID="{B15E68C2-26BD-436F-A51B-9608E8263320}">
  <ds:schemaRefs/>
</ds:datastoreItem>
</file>

<file path=customXml/itemProps3.xml><?xml version="1.0" encoding="utf-8"?>
<ds:datastoreItem xmlns:ds="http://schemas.openxmlformats.org/officeDocument/2006/customXml" ds:itemID="{4C4360F1-6780-40D5-A659-9F3D4797BB19}">
  <ds:schemaRefs/>
</ds:datastoreItem>
</file>

<file path=customXml/itemProps4.xml><?xml version="1.0" encoding="utf-8"?>
<ds:datastoreItem xmlns:ds="http://schemas.openxmlformats.org/officeDocument/2006/customXml" ds:itemID="{F801939E-FF7C-4A95-AECC-3A09FCACDC14}">
  <ds:schemaRefs/>
</ds:datastoreItem>
</file>

<file path=customXml/itemProps5.xml><?xml version="1.0" encoding="utf-8"?>
<ds:datastoreItem xmlns:ds="http://schemas.openxmlformats.org/officeDocument/2006/customXml" ds:itemID="{61EBF52D-9342-40B4-8BBB-6526CE3EF8EE}">
  <ds:schemaRefs/>
</ds:datastoreItem>
</file>

<file path=customXml/itemProps6.xml><?xml version="1.0" encoding="utf-8"?>
<ds:datastoreItem xmlns:ds="http://schemas.openxmlformats.org/officeDocument/2006/customXml" ds:itemID="{C6812254-529E-41B2-AF5D-090314EF1C08}">
  <ds:schemaRefs/>
</ds:datastoreItem>
</file>

<file path=customXml/itemProps7.xml><?xml version="1.0" encoding="utf-8"?>
<ds:datastoreItem xmlns:ds="http://schemas.openxmlformats.org/officeDocument/2006/customXml" ds:itemID="{242CE4B6-9A33-487C-9397-580938B7BA6A}">
  <ds:schemaRefs/>
</ds:datastoreItem>
</file>

<file path=customXml/itemProps8.xml><?xml version="1.0" encoding="utf-8"?>
<ds:datastoreItem xmlns:ds="http://schemas.openxmlformats.org/officeDocument/2006/customXml" ds:itemID="{D52D8983-3EDF-4A26-8894-76008F8F889B}">
  <ds:schemaRefs/>
</ds:datastoreItem>
</file>

<file path=customXml/itemProps9.xml><?xml version="1.0" encoding="utf-8"?>
<ds:datastoreItem xmlns:ds="http://schemas.openxmlformats.org/officeDocument/2006/customXml" ds:itemID="{55ECD547-71BC-47B7-A801-5520BE716791}">
  <ds:schemaRefs/>
</ds:datastoreItem>
</file>

<file path=customXml/itemProps10.xml><?xml version="1.0" encoding="utf-8"?>
<ds:datastoreItem xmlns:ds="http://schemas.openxmlformats.org/officeDocument/2006/customXml" ds:itemID="{77583D7D-627A-4B2D-BE5F-E6C0F594820A}">
  <ds:schemaRefs/>
</ds:datastoreItem>
</file>

<file path=customXml/itemProps11.xml><?xml version="1.0" encoding="utf-8"?>
<ds:datastoreItem xmlns:ds="http://schemas.openxmlformats.org/officeDocument/2006/customXml" ds:itemID="{77B8BB90-2E52-4AA1-BE12-EBB639FCFD14}">
  <ds:schemaRefs/>
</ds:datastoreItem>
</file>

<file path=customXml/itemProps12.xml><?xml version="1.0" encoding="utf-8"?>
<ds:datastoreItem xmlns:ds="http://schemas.openxmlformats.org/officeDocument/2006/customXml" ds:itemID="{EB7330DF-243E-4988-A99C-704204A2AE24}">
  <ds:schemaRefs/>
</ds:datastoreItem>
</file>

<file path=customXml/itemProps13.xml><?xml version="1.0" encoding="utf-8"?>
<ds:datastoreItem xmlns:ds="http://schemas.openxmlformats.org/officeDocument/2006/customXml" ds:itemID="{0BD42DC0-BAB4-4222-B202-FFBA102EC620}">
  <ds:schemaRefs/>
</ds:datastoreItem>
</file>

<file path=customXml/itemProps14.xml><?xml version="1.0" encoding="utf-8"?>
<ds:datastoreItem xmlns:ds="http://schemas.openxmlformats.org/officeDocument/2006/customXml" ds:itemID="{9C80F59C-9079-4E59-B613-5C967004BB67}">
  <ds:schemaRefs/>
</ds:datastoreItem>
</file>

<file path=customXml/itemProps15.xml><?xml version="1.0" encoding="utf-8"?>
<ds:datastoreItem xmlns:ds="http://schemas.openxmlformats.org/officeDocument/2006/customXml" ds:itemID="{BACD0148-A906-4A2D-B986-D3E9732AF130}">
  <ds:schemaRefs>
    <ds:schemaRef ds:uri="http://schemas.microsoft.com/DataMashup"/>
  </ds:schemaRefs>
</ds:datastoreItem>
</file>

<file path=customXml/itemProps16.xml><?xml version="1.0" encoding="utf-8"?>
<ds:datastoreItem xmlns:ds="http://schemas.openxmlformats.org/officeDocument/2006/customXml" ds:itemID="{836EFD74-0729-4068-AC0B-0868099AA8E0}">
  <ds:schemaRefs/>
</ds:datastoreItem>
</file>

<file path=customXml/itemProps17.xml><?xml version="1.0" encoding="utf-8"?>
<ds:datastoreItem xmlns:ds="http://schemas.openxmlformats.org/officeDocument/2006/customXml" ds:itemID="{97C44AB7-F452-411B-9079-3AC06BBE2B7C}">
  <ds:schemaRefs/>
</ds:datastoreItem>
</file>

<file path=customXml/itemProps18.xml><?xml version="1.0" encoding="utf-8"?>
<ds:datastoreItem xmlns:ds="http://schemas.openxmlformats.org/officeDocument/2006/customXml" ds:itemID="{EB328BB4-5935-4639-BDB8-E5F3E7756A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No.of Patient</vt:lpstr>
      <vt:lpstr>Average wait time daily trend</vt:lpstr>
      <vt:lpstr>satification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Gowda</dc:creator>
  <cp:lastModifiedBy>Manoj Gowda</cp:lastModifiedBy>
  <dcterms:created xsi:type="dcterms:W3CDTF">2026-04-01T05:41:59Z</dcterms:created>
  <dcterms:modified xsi:type="dcterms:W3CDTF">2026-07-13T09:52:38Z</dcterms:modified>
</cp:coreProperties>
</file>